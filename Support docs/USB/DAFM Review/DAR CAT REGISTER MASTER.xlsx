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Lisa\Documents\DAR\DAFM  EX GRATIA\2023 to 2024\DAFM Review\"/>
    </mc:Choice>
  </mc:AlternateContent>
  <xr:revisionPtr revIDLastSave="0" documentId="8_{29292203-3CAB-4DC5-9C24-15BF6E5AD4C5}" xr6:coauthVersionLast="47" xr6:coauthVersionMax="47" xr10:uidLastSave="{00000000-0000-0000-0000-000000000000}"/>
  <bookViews>
    <workbookView xWindow="-120" yWindow="-120" windowWidth="20730" windowHeight="11160" tabRatio="786" xr2:uid="{CC2B5760-29D5-4464-98DB-3D1587ADAFD5}"/>
  </bookViews>
  <sheets>
    <sheet name="CAT REGISTER" sheetId="1" r:id="rId1"/>
    <sheet name="FOSTERER" sheetId="2" r:id="rId2"/>
    <sheet name="TNR" sheetId="4" r:id="rId3"/>
    <sheet name="VETS" sheetId="5" r:id="rId4"/>
    <sheet name="ADOPTIONS 2024" sheetId="10" r:id="rId5"/>
    <sheet name="ADOPTIONS 2023" sheetId="8" r:id="rId6"/>
    <sheet name="ADOPTIONS 2022" sheetId="6" r:id="rId7"/>
    <sheet name="INTAKE 2022" sheetId="9" r:id="rId8"/>
    <sheet name="LIST" sheetId="3" r:id="rId9"/>
  </sheets>
  <definedNames>
    <definedName name="_xlnm._FilterDatabase" localSheetId="0" hidden="1">'CAT REGISTER'!$S$1:$S$884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948" i="1" l="1"/>
  <c r="Q949" i="1"/>
  <c r="Q947" i="1"/>
  <c r="Q966" i="1"/>
  <c r="Q937" i="1"/>
  <c r="Q938" i="1"/>
  <c r="Q946" i="1" l="1"/>
  <c r="Q945" i="1"/>
  <c r="Q944" i="1"/>
  <c r="Q943" i="1"/>
  <c r="Q942" i="1"/>
  <c r="Q941" i="1"/>
  <c r="Q940" i="1"/>
  <c r="Q939" i="1"/>
  <c r="Q935" i="1"/>
  <c r="Q892" i="1"/>
  <c r="Q893" i="1"/>
  <c r="Q899" i="1"/>
  <c r="Q962" i="1"/>
  <c r="Q963" i="1"/>
  <c r="Q894" i="1"/>
  <c r="Q890" i="1"/>
  <c r="Q895" i="1"/>
  <c r="Q896" i="1"/>
  <c r="Q897" i="1"/>
  <c r="Q898" i="1"/>
  <c r="Q891" i="1"/>
  <c r="Q872" i="1"/>
  <c r="Q901" i="1"/>
  <c r="Q900" i="1"/>
  <c r="Q902" i="1"/>
  <c r="Q904" i="1"/>
  <c r="Q903" i="1"/>
  <c r="Q905" i="1"/>
  <c r="Q909" i="1"/>
  <c r="Q911" i="1"/>
  <c r="Q912" i="1"/>
  <c r="Q913" i="1"/>
  <c r="Q914" i="1"/>
  <c r="Q915" i="1"/>
  <c r="Q916" i="1"/>
  <c r="Q922" i="1"/>
  <c r="Q923" i="1"/>
  <c r="Q924" i="1"/>
  <c r="Q906" i="1"/>
  <c r="Q917" i="1"/>
  <c r="Q918" i="1"/>
  <c r="Q919" i="1"/>
  <c r="Q920" i="1"/>
  <c r="Q921" i="1"/>
  <c r="Q910" i="1"/>
  <c r="Q768" i="1"/>
  <c r="Q769" i="1"/>
  <c r="Q770" i="1"/>
  <c r="Q771" i="1"/>
  <c r="Q964" i="1"/>
  <c r="Q965" i="1"/>
  <c r="Q925" i="1"/>
  <c r="Q926" i="1"/>
  <c r="Q927" i="1"/>
  <c r="Q928" i="1"/>
  <c r="Q929" i="1"/>
  <c r="Q907" i="1"/>
  <c r="Q908" i="1"/>
  <c r="Q930" i="1"/>
  <c r="Q931" i="1"/>
  <c r="Q932" i="1"/>
  <c r="Q933" i="1"/>
  <c r="Q934" i="1"/>
  <c r="Q936" i="1"/>
  <c r="Q880" i="1"/>
  <c r="Q889" i="1"/>
  <c r="Q883" i="1"/>
  <c r="Q877" i="1"/>
  <c r="Q876" i="1"/>
  <c r="Q875" i="1"/>
  <c r="Q874" i="1"/>
  <c r="Q958" i="1"/>
  <c r="Q959" i="1"/>
  <c r="Q960" i="1"/>
  <c r="Q961" i="1"/>
  <c r="Q881" i="1"/>
  <c r="Q882" i="1"/>
  <c r="Q885" i="1"/>
  <c r="Q886" i="1"/>
  <c r="Q887" i="1"/>
  <c r="Q888" i="1"/>
  <c r="Q884" i="1"/>
  <c r="Q307" i="1"/>
  <c r="Q308" i="1"/>
  <c r="Q950" i="1"/>
  <c r="Q951" i="1"/>
  <c r="Q952" i="1"/>
  <c r="Q953" i="1"/>
  <c r="Q954" i="1"/>
  <c r="Q955" i="1"/>
  <c r="Q956" i="1"/>
  <c r="Q957" i="1"/>
  <c r="Q624" i="1"/>
  <c r="Q625" i="1"/>
  <c r="Q665" i="1"/>
  <c r="Q617" i="1"/>
  <c r="Q639" i="1"/>
  <c r="Q873" i="1" l="1"/>
  <c r="Q775" i="1"/>
  <c r="Q774" i="1"/>
  <c r="Q773" i="1"/>
  <c r="Q77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1" i="1"/>
  <c r="Q592" i="1"/>
  <c r="Q593" i="1"/>
  <c r="Q594" i="1"/>
  <c r="Q595" i="1"/>
  <c r="Q596" i="1"/>
  <c r="Q597" i="1"/>
  <c r="Q598" i="1"/>
  <c r="Q599" i="1"/>
  <c r="Q600" i="1"/>
  <c r="Q601" i="1"/>
  <c r="Q602" i="1"/>
  <c r="Q603" i="1"/>
  <c r="Q604" i="1"/>
  <c r="Q605" i="1"/>
  <c r="Q606" i="1"/>
  <c r="Q607" i="1"/>
  <c r="Q608" i="1"/>
  <c r="Q609" i="1"/>
  <c r="Q611" i="1"/>
  <c r="Q612" i="1"/>
  <c r="Q613" i="1"/>
  <c r="Q614" i="1"/>
  <c r="Q615" i="1"/>
  <c r="Q616" i="1"/>
  <c r="Q618" i="1"/>
  <c r="Q621" i="1"/>
  <c r="Q622" i="1"/>
  <c r="Q626" i="1"/>
  <c r="Q619" i="1"/>
  <c r="Q620" i="1"/>
  <c r="Q627" i="1"/>
  <c r="Q628" i="1"/>
  <c r="Q629" i="1"/>
  <c r="Q630" i="1"/>
  <c r="Q631" i="1"/>
  <c r="Q632" i="1"/>
  <c r="Q633" i="1"/>
  <c r="Q634" i="1"/>
  <c r="Q635" i="1"/>
  <c r="Q636" i="1"/>
  <c r="Q637" i="1"/>
  <c r="Q638" i="1"/>
  <c r="Q640" i="1"/>
  <c r="Q641" i="1"/>
  <c r="Q642" i="1"/>
  <c r="Q643" i="1"/>
  <c r="Q644" i="1"/>
  <c r="Q645" i="1"/>
  <c r="Q646" i="1"/>
  <c r="Q647" i="1"/>
  <c r="Q648" i="1"/>
  <c r="Q649" i="1"/>
  <c r="Q650" i="1"/>
  <c r="Q651" i="1"/>
  <c r="Q652" i="1"/>
  <c r="Q653" i="1"/>
  <c r="Q654" i="1"/>
  <c r="Q655" i="1"/>
  <c r="Q656" i="1"/>
  <c r="Q657" i="1"/>
  <c r="Q658" i="1"/>
  <c r="Q659" i="1"/>
  <c r="Q660" i="1"/>
  <c r="Q661" i="1"/>
  <c r="Q662" i="1"/>
  <c r="Q666" i="1"/>
  <c r="Q667" i="1"/>
  <c r="Q668" i="1"/>
  <c r="Q669" i="1"/>
  <c r="Q670" i="1"/>
  <c r="Q671" i="1"/>
  <c r="Q672" i="1"/>
  <c r="Q673" i="1"/>
  <c r="Q674" i="1"/>
  <c r="Q675" i="1"/>
  <c r="Q676" i="1"/>
  <c r="Q678" i="1"/>
  <c r="Q679" i="1"/>
  <c r="Q680" i="1"/>
  <c r="Q681" i="1"/>
  <c r="Q685" i="1"/>
  <c r="Q686" i="1"/>
  <c r="Q688" i="1"/>
  <c r="Q689" i="1"/>
  <c r="Q690" i="1"/>
  <c r="Q693" i="1"/>
  <c r="Q694" i="1"/>
  <c r="Q695" i="1"/>
  <c r="Q696" i="1"/>
  <c r="Q697" i="1"/>
  <c r="Q698" i="1"/>
  <c r="Q701" i="1"/>
  <c r="Q703" i="1"/>
  <c r="Q704" i="1"/>
  <c r="Q705" i="1"/>
  <c r="Q706" i="1"/>
  <c r="Q707" i="1"/>
  <c r="Q711" i="1"/>
  <c r="Q712" i="1"/>
  <c r="Q713" i="1"/>
  <c r="Q714" i="1"/>
  <c r="Q715" i="1"/>
  <c r="Q718" i="1"/>
  <c r="Q721" i="1"/>
  <c r="Q722" i="1"/>
  <c r="Q723" i="1"/>
  <c r="Q724" i="1"/>
  <c r="Q725" i="1"/>
  <c r="Q726" i="1"/>
  <c r="Q727" i="1"/>
  <c r="Q728" i="1"/>
  <c r="Q729" i="1"/>
  <c r="Q730" i="1"/>
  <c r="Q731" i="1"/>
  <c r="Q741" i="1"/>
  <c r="Q742" i="1"/>
  <c r="Q743" i="1"/>
  <c r="Q744" i="1"/>
  <c r="Q745" i="1"/>
  <c r="Q746" i="1"/>
  <c r="Q750" i="1"/>
  <c r="Q751" i="1"/>
  <c r="Q757" i="1"/>
  <c r="Q752" i="1"/>
  <c r="Q753" i="1"/>
  <c r="Q754" i="1"/>
  <c r="Q755" i="1"/>
  <c r="Q747" i="1"/>
  <c r="Q761" i="1"/>
  <c r="Q762" i="1"/>
  <c r="Q763" i="1"/>
  <c r="Q764" i="1"/>
  <c r="Q765" i="1"/>
  <c r="Q786" i="1"/>
  <c r="Q787" i="1"/>
  <c r="Q788" i="1"/>
  <c r="Q789" i="1"/>
  <c r="Q790" i="1"/>
  <c r="Q677" i="1"/>
  <c r="Q785" i="1"/>
  <c r="Q760" i="1"/>
  <c r="Q783" i="1"/>
  <c r="Q795" i="1"/>
  <c r="Q797" i="1"/>
  <c r="Q798" i="1"/>
  <c r="Q799" i="1"/>
  <c r="Q800" i="1"/>
  <c r="Q805" i="1"/>
  <c r="Q817" i="1"/>
  <c r="Q818" i="1"/>
  <c r="Q819" i="1"/>
  <c r="Q778" i="1"/>
  <c r="Q845" i="1"/>
  <c r="Q852" i="1"/>
  <c r="Q832" i="1"/>
  <c r="Q833" i="1"/>
  <c r="Q834" i="1"/>
  <c r="Q835" i="1"/>
  <c r="Q836" i="1"/>
  <c r="Q837" i="1"/>
  <c r="Q838" i="1"/>
  <c r="Q839" i="1"/>
  <c r="Q810" i="1"/>
  <c r="Q802" i="1"/>
  <c r="Q846" i="1"/>
  <c r="Q843" i="1"/>
  <c r="Q844" i="1"/>
  <c r="Q847" i="1"/>
  <c r="Q848" i="1"/>
  <c r="Q853" i="1"/>
  <c r="Q776" i="1"/>
  <c r="Q804" i="1"/>
  <c r="Q828" i="1"/>
  <c r="Q829" i="1"/>
  <c r="Q699" i="1"/>
  <c r="Q700" i="1"/>
  <c r="Q710" i="1"/>
  <c r="Q813" i="1"/>
  <c r="Q820" i="1"/>
  <c r="Q821" i="1"/>
  <c r="Q822" i="1"/>
  <c r="Q854" i="1"/>
  <c r="Q855" i="1"/>
  <c r="Q849" i="1"/>
  <c r="Q878" i="1"/>
  <c r="Q879" i="1"/>
  <c r="Q791" i="1"/>
  <c r="Q792" i="1"/>
  <c r="Q793" i="1"/>
  <c r="Q806" i="1"/>
  <c r="Q807" i="1"/>
  <c r="Q808" i="1"/>
  <c r="Q809" i="1"/>
  <c r="Q708" i="1"/>
  <c r="Q803" i="1"/>
  <c r="Q811" i="1"/>
  <c r="Q812" i="1"/>
  <c r="Q827" i="1"/>
  <c r="Q682" i="1"/>
  <c r="Q683" i="1"/>
  <c r="Q684" i="1"/>
  <c r="Q687" i="1"/>
  <c r="Q691" i="1"/>
  <c r="Q692" i="1"/>
  <c r="Q702" i="1"/>
  <c r="Q709" i="1"/>
  <c r="Q830" i="1"/>
  <c r="Q831" i="1"/>
  <c r="Q716" i="1"/>
  <c r="Q717" i="1"/>
  <c r="Q719" i="1"/>
  <c r="Q720" i="1"/>
  <c r="Q732" i="1"/>
  <c r="Q733" i="1"/>
  <c r="Q734" i="1"/>
  <c r="Q735" i="1"/>
  <c r="Q736" i="1"/>
  <c r="Q737" i="1"/>
  <c r="Q738" i="1"/>
  <c r="Q739" i="1"/>
  <c r="Q740" i="1"/>
  <c r="Q748" i="1"/>
  <c r="Q749" i="1"/>
  <c r="Q756" i="1"/>
  <c r="Q758" i="1"/>
  <c r="Q759" i="1"/>
  <c r="Q766" i="1"/>
  <c r="Q767" i="1"/>
  <c r="Q777" i="1"/>
  <c r="Q779" i="1"/>
  <c r="Q780" i="1"/>
  <c r="Q796" i="1"/>
  <c r="Q781" i="1"/>
  <c r="Q784" i="1"/>
  <c r="Q794" i="1"/>
  <c r="Q801" i="1"/>
  <c r="Q814" i="1"/>
  <c r="Q815" i="1"/>
  <c r="Q816" i="1"/>
  <c r="Q823" i="1"/>
  <c r="Q850" i="1"/>
  <c r="Q851" i="1"/>
  <c r="Q782" i="1"/>
  <c r="Q866" i="1"/>
  <c r="Q869" i="1"/>
  <c r="Q870" i="1"/>
  <c r="Q871" i="1"/>
  <c r="Q840" i="1"/>
  <c r="Q841" i="1"/>
  <c r="Q842" i="1"/>
  <c r="Q867" i="1"/>
  <c r="Q868" i="1"/>
  <c r="Q863" i="1"/>
  <c r="Q864" i="1"/>
  <c r="Q865" i="1"/>
  <c r="Q857" i="1"/>
  <c r="Q858" i="1"/>
  <c r="Q859" i="1"/>
  <c r="Q860" i="1"/>
  <c r="Q861" i="1"/>
  <c r="Q862" i="1"/>
  <c r="Q856" i="1"/>
  <c r="Q824" i="1"/>
  <c r="Q825" i="1"/>
  <c r="Q826" i="1"/>
  <c r="H1" i="8" l="1"/>
  <c r="H1" i="10"/>
  <c r="Q2" i="1" l="1"/>
  <c r="H1" i="6" l="1"/>
</calcChain>
</file>

<file path=xl/sharedStrings.xml><?xml version="1.0" encoding="utf-8"?>
<sst xmlns="http://schemas.openxmlformats.org/spreadsheetml/2006/main" count="14476" uniqueCount="2818">
  <si>
    <t>NAME</t>
  </si>
  <si>
    <t>BREED</t>
  </si>
  <si>
    <t>GENDER</t>
  </si>
  <si>
    <t>AGE</t>
  </si>
  <si>
    <t>DATE NEUTERED</t>
  </si>
  <si>
    <t>DATE INTO DAR</t>
  </si>
  <si>
    <t>DATE OUT OF DAR</t>
  </si>
  <si>
    <t>SOURCE</t>
  </si>
  <si>
    <t>FOSTERER</t>
  </si>
  <si>
    <t>VET</t>
  </si>
  <si>
    <t>REF NUM</t>
  </si>
  <si>
    <t>NOTES</t>
  </si>
  <si>
    <t>DSH</t>
  </si>
  <si>
    <t>PERSIAN</t>
  </si>
  <si>
    <t>GINGER</t>
  </si>
  <si>
    <t>CALICO</t>
  </si>
  <si>
    <t>TABBY</t>
  </si>
  <si>
    <t>B/W</t>
  </si>
  <si>
    <t>WHITE</t>
  </si>
  <si>
    <t>GREY</t>
  </si>
  <si>
    <t>BLACK</t>
  </si>
  <si>
    <t>DESCRIPTION</t>
  </si>
  <si>
    <t>MALE</t>
  </si>
  <si>
    <t>FEMALE</t>
  </si>
  <si>
    <t>MALE - NEUTERED</t>
  </si>
  <si>
    <t>FEMALE - NEUTERED</t>
  </si>
  <si>
    <t>STRAY</t>
  </si>
  <si>
    <t>SURRENDER</t>
  </si>
  <si>
    <t>OTHER</t>
  </si>
  <si>
    <t>ALLPETS</t>
  </si>
  <si>
    <t>WESTGATE</t>
  </si>
  <si>
    <t>O'DOWD</t>
  </si>
  <si>
    <t>SHENICK</t>
  </si>
  <si>
    <t>AVENUE VETS</t>
  </si>
  <si>
    <t>GREENORE KITTEN</t>
  </si>
  <si>
    <t>DOB 03/07/2022</t>
  </si>
  <si>
    <t>Two out of five. Mother abandoned kittens.</t>
  </si>
  <si>
    <t>DAR VOLUNTEER</t>
  </si>
  <si>
    <t>E. Howell</t>
  </si>
  <si>
    <t>L. Martinez</t>
  </si>
  <si>
    <t>OUTCOME</t>
  </si>
  <si>
    <t>REHOMED</t>
  </si>
  <si>
    <t>PTS</t>
  </si>
  <si>
    <t>PASSED AWAY</t>
  </si>
  <si>
    <t>DROMIN KITTEN</t>
  </si>
  <si>
    <t>SLANE</t>
  </si>
  <si>
    <t>Car Engine Kitten / Olive</t>
  </si>
  <si>
    <t>8-10 weeks</t>
  </si>
  <si>
    <t>Received TriCat and Milbemax Wormer</t>
  </si>
  <si>
    <t>VACCINATION STATUS</t>
  </si>
  <si>
    <t xml:space="preserve">V1 </t>
  </si>
  <si>
    <t>V1 + V2</t>
  </si>
  <si>
    <t>NONE</t>
  </si>
  <si>
    <t>PENDING</t>
  </si>
  <si>
    <t>VACCINE TYPE</t>
  </si>
  <si>
    <t xml:space="preserve">VACCINE TYPE </t>
  </si>
  <si>
    <t>Tri-Cat</t>
  </si>
  <si>
    <t xml:space="preserve">GREENORE KITTEN </t>
  </si>
  <si>
    <t>8-9 weeks</t>
  </si>
  <si>
    <t>SURNAME</t>
  </si>
  <si>
    <t>FIRST NAME</t>
  </si>
  <si>
    <t>ADDRESS1</t>
  </si>
  <si>
    <t>ADDRESS2</t>
  </si>
  <si>
    <t>TOWN</t>
  </si>
  <si>
    <t>COUNTY</t>
  </si>
  <si>
    <t>NUMBER1</t>
  </si>
  <si>
    <t>NUMBER2</t>
  </si>
  <si>
    <t>Howell</t>
  </si>
  <si>
    <t>Liz</t>
  </si>
  <si>
    <t>Kellystown</t>
  </si>
  <si>
    <t>EIRCODE</t>
  </si>
  <si>
    <t>LOUTH</t>
  </si>
  <si>
    <t>LOCATION</t>
  </si>
  <si>
    <t>FOSTER CARE</t>
  </si>
  <si>
    <t>FOSTER CARE - LONG TERM</t>
  </si>
  <si>
    <t>CAT CENTRE</t>
  </si>
  <si>
    <t>TNR LOCATION</t>
  </si>
  <si>
    <t>MEATH</t>
  </si>
  <si>
    <t>NORTH CO DUBLIN</t>
  </si>
  <si>
    <t>DUBLIN</t>
  </si>
  <si>
    <t>CURRENT LOCATION</t>
  </si>
  <si>
    <t>Chloe the Calico</t>
  </si>
  <si>
    <t>13-weeks</t>
  </si>
  <si>
    <t>TOTAL DAYS IN DAR</t>
  </si>
  <si>
    <t>Doro</t>
  </si>
  <si>
    <t>Joanna</t>
  </si>
  <si>
    <t>Balbriggan</t>
  </si>
  <si>
    <t>16 Cardy Rock Crescent</t>
  </si>
  <si>
    <t>K32 CH22</t>
  </si>
  <si>
    <t>087 968 7422</t>
  </si>
  <si>
    <t>Zemen</t>
  </si>
  <si>
    <t>Kate</t>
  </si>
  <si>
    <t>Greenore</t>
  </si>
  <si>
    <t>087 359 0499</t>
  </si>
  <si>
    <t>Vieites</t>
  </si>
  <si>
    <t>Celina</t>
  </si>
  <si>
    <t>50 Park Heath</t>
  </si>
  <si>
    <t>Grange Rath</t>
  </si>
  <si>
    <t>Drogheda</t>
  </si>
  <si>
    <t>086 792 9429</t>
  </si>
  <si>
    <t>9-10 weeks</t>
  </si>
  <si>
    <t>Leucofeligen</t>
  </si>
  <si>
    <t>Tri-Cat + Leucogen</t>
  </si>
  <si>
    <t>Dundalk Kitten</t>
  </si>
  <si>
    <t>4-weeks</t>
  </si>
  <si>
    <t>As above</t>
  </si>
  <si>
    <t>Litter of 3-kittens. Mother was attacked by a dog 
&amp; did not return to kittens.</t>
  </si>
  <si>
    <t>ELAPSTED TIME
(DAYS)</t>
  </si>
  <si>
    <t>McDowell</t>
  </si>
  <si>
    <t>Patricia</t>
  </si>
  <si>
    <t>Dunany</t>
  </si>
  <si>
    <t>FOSTERERS</t>
  </si>
  <si>
    <t>P. McDowell</t>
  </si>
  <si>
    <t>C. Vieites</t>
  </si>
  <si>
    <t>K. Zemen</t>
  </si>
  <si>
    <t>J. Doro</t>
  </si>
  <si>
    <t>Duleek Mother Cat</t>
  </si>
  <si>
    <t>Duleek Kitten1</t>
  </si>
  <si>
    <t>Duleek Kitten2</t>
  </si>
  <si>
    <t>Duleek Kitten3</t>
  </si>
  <si>
    <t>Duleek Kitten4</t>
  </si>
  <si>
    <t>ABANDONED</t>
  </si>
  <si>
    <t>ORPHANED</t>
  </si>
  <si>
    <t>Mio</t>
  </si>
  <si>
    <t>DOB 01/10/2010</t>
  </si>
  <si>
    <t xml:space="preserve">MC: 941 000 017 259 369 </t>
  </si>
  <si>
    <t>Galroostown Kitten (Tori)</t>
  </si>
  <si>
    <t>TORTIE</t>
  </si>
  <si>
    <t>The Well - Yellowbatter</t>
  </si>
  <si>
    <t>5-weeks</t>
  </si>
  <si>
    <t>Theresa</t>
  </si>
  <si>
    <t>Fieldstown</t>
  </si>
  <si>
    <t>T. Howell</t>
  </si>
  <si>
    <t>Castlebellingham Kitten2</t>
  </si>
  <si>
    <t>Castlebellingham Kitten3</t>
  </si>
  <si>
    <t>Castlebellingham Kitten6</t>
  </si>
  <si>
    <t>AGE at INTAKE</t>
  </si>
  <si>
    <t>Carlingford Mam</t>
  </si>
  <si>
    <t>Carlingford Mam Kitten1</t>
  </si>
  <si>
    <t>Carlingford Mam Kitten2</t>
  </si>
  <si>
    <t>Carlingford Mam Kitten3</t>
  </si>
  <si>
    <t>Carlingford Mam Kitten4</t>
  </si>
  <si>
    <t>Carlingford Mam Kitten5</t>
  </si>
  <si>
    <t>12-weeks</t>
  </si>
  <si>
    <t>10-weeks</t>
  </si>
  <si>
    <t>Brennan</t>
  </si>
  <si>
    <t>Castlewood</t>
  </si>
  <si>
    <t>087 987 7852</t>
  </si>
  <si>
    <t>K. Brennan</t>
  </si>
  <si>
    <t>Moneymore Feral Kitten1</t>
  </si>
  <si>
    <t>Moneymore Feral Kitten2</t>
  </si>
  <si>
    <t>Moneymore Feral Kitten3</t>
  </si>
  <si>
    <t>087 924 9911</t>
  </si>
  <si>
    <t>041 685 2384</t>
  </si>
  <si>
    <t>087 958 3827</t>
  </si>
  <si>
    <t>Carlingford Kitten - Additional</t>
  </si>
  <si>
    <t>1-year</t>
  </si>
  <si>
    <t>D796</t>
  </si>
  <si>
    <t>D798</t>
  </si>
  <si>
    <t>D797</t>
  </si>
  <si>
    <t>D799</t>
  </si>
  <si>
    <t>D800</t>
  </si>
  <si>
    <t>Capulet</t>
  </si>
  <si>
    <t>Ramona</t>
  </si>
  <si>
    <t>Annies</t>
  </si>
  <si>
    <t>Kilcurry</t>
  </si>
  <si>
    <t>Dundalk</t>
  </si>
  <si>
    <t>A91 R8A0</t>
  </si>
  <si>
    <t>086 892 9473</t>
  </si>
  <si>
    <t>Aucone</t>
  </si>
  <si>
    <t>Violetta</t>
  </si>
  <si>
    <t>14C Peter Street</t>
  </si>
  <si>
    <t>083 811 8531</t>
  </si>
  <si>
    <t>Termon Abbey Kitten</t>
  </si>
  <si>
    <t>W/B</t>
  </si>
  <si>
    <t>8-weeks</t>
  </si>
  <si>
    <t>V. Aucone</t>
  </si>
  <si>
    <t>Ruth</t>
  </si>
  <si>
    <t>12 Cherry Wood Close</t>
  </si>
  <si>
    <t>Termon Abbey</t>
  </si>
  <si>
    <t>A92 EV5W</t>
  </si>
  <si>
    <t>086 238 6975</t>
  </si>
  <si>
    <t>SCOTTISH FOLD</t>
  </si>
  <si>
    <t>Termonfeckin Well Kitten1 - Remy</t>
  </si>
  <si>
    <t>Termonfeckin Well Kitten2 - Pixy</t>
  </si>
  <si>
    <t>Kitten Milbemax Wormer 18/07/2022</t>
  </si>
  <si>
    <t>O'Hare</t>
  </si>
  <si>
    <t>R. O'Hare</t>
  </si>
  <si>
    <t>Buttons / Suzanne McKnight's Litter</t>
  </si>
  <si>
    <t>DOB 08/04/2022</t>
  </si>
  <si>
    <t>Leg has two fractures.</t>
  </si>
  <si>
    <t>Calicivirus</t>
  </si>
  <si>
    <t>Lexi</t>
  </si>
  <si>
    <t>9-weeks</t>
  </si>
  <si>
    <t>10-12 weeks</t>
  </si>
  <si>
    <t>8-12 weeks</t>
  </si>
  <si>
    <t>PetBliss</t>
  </si>
  <si>
    <t>Lyndsey</t>
  </si>
  <si>
    <t>Donore Retail Park</t>
  </si>
  <si>
    <t>L. PetBliss</t>
  </si>
  <si>
    <t xml:space="preserve">8-9 weeks </t>
  </si>
  <si>
    <t>Beamore Road Kitten1 - Rocky</t>
  </si>
  <si>
    <t>Beamore Road Kitten2 - Adrian</t>
  </si>
  <si>
    <t>Wormed (Milbemax) &amp; Flea Treatment (Advocate) 19/07/2022
Wormed 16/08/2022 Milbemax</t>
  </si>
  <si>
    <t>Has ringworm. Diagnosed with Parvovirus &amp; PTS due to declining condition.</t>
  </si>
  <si>
    <t>Need Feral Homes. Given parasite treatment (internal/external), and ear-tipped at neutering.</t>
  </si>
  <si>
    <t>Duffy</t>
  </si>
  <si>
    <t>Noel</t>
  </si>
  <si>
    <t>57 Millrace</t>
  </si>
  <si>
    <t>Duleek</t>
  </si>
  <si>
    <t>A92 X286</t>
  </si>
  <si>
    <t>089 209 7994</t>
  </si>
  <si>
    <t>Madeleine</t>
  </si>
  <si>
    <t>N. Duffy</t>
  </si>
  <si>
    <t>R. Capulet</t>
  </si>
  <si>
    <t>Advocate Flea Treatment 18/07/2022
Milbemax 22/07/2022 and 19/08/2022</t>
  </si>
  <si>
    <t>DIFE MAMMY1</t>
  </si>
  <si>
    <t>DIFE MAMMY1 Kitten1</t>
  </si>
  <si>
    <t>DIFE MAMMY1 Kitten2</t>
  </si>
  <si>
    <t>DIFE MAMMY1 Kitten3</t>
  </si>
  <si>
    <t>DIFE MAMMY1 Kitten4</t>
  </si>
  <si>
    <t>&lt; 1 year</t>
  </si>
  <si>
    <t>DOB 22/04/2022</t>
  </si>
  <si>
    <t>Wormed &amp; Flea Treatment Plus V1 on 07/04/2022</t>
  </si>
  <si>
    <t>Moneymore Kitten1</t>
  </si>
  <si>
    <t>Moneymore Kitten2</t>
  </si>
  <si>
    <t>Mother chased away by a dog. Put with DIFE MAMMY1</t>
  </si>
  <si>
    <t>Newtownstalban Young Cat</t>
  </si>
  <si>
    <t>4.5 Months</t>
  </si>
  <si>
    <t>Has a 'werid' condition</t>
  </si>
  <si>
    <t>Ashfield Kitten</t>
  </si>
  <si>
    <t>Shevlin Kitten2 - Dunany</t>
  </si>
  <si>
    <t>Shevlin Kitten3 - Dunany</t>
  </si>
  <si>
    <t>Shevlin Kitten4 - Dunany</t>
  </si>
  <si>
    <t>Shevlin Kitten5 - Dunany</t>
  </si>
  <si>
    <t>Bellescourt Ctr Courtyard Kitten1 - Arnie</t>
  </si>
  <si>
    <t>Bellescourt Ctr Courtyard Kitten2 - Danny</t>
  </si>
  <si>
    <t>3-weeks</t>
  </si>
  <si>
    <t>Paddy Sam - Fieldstown</t>
  </si>
  <si>
    <t>Sally - Gladys Dundalk</t>
  </si>
  <si>
    <t>7-8 weeks</t>
  </si>
  <si>
    <t>Given NexGard (internal worms and external fleas)</t>
  </si>
  <si>
    <t>Bettystown Caravan Park Kitten - Stephen</t>
  </si>
  <si>
    <t>Given NexGard. Handed into the DAR CTR</t>
  </si>
  <si>
    <t>Circle K North Road - Kitten</t>
  </si>
  <si>
    <t>St. Joseph's Tce Mell Injured Cat</t>
  </si>
  <si>
    <t>6-weeks</t>
  </si>
  <si>
    <t>Confirmed bilateral fractures on hips and pelvis. Not repairable. Best to PTS.</t>
  </si>
  <si>
    <t>7-weeks</t>
  </si>
  <si>
    <t xml:space="preserve">10-12 weeks </t>
  </si>
  <si>
    <t>Deirdre</t>
  </si>
  <si>
    <t>O'Kane</t>
  </si>
  <si>
    <t>Marsh Road</t>
  </si>
  <si>
    <t>Mornington</t>
  </si>
  <si>
    <t>A92 P6X7</t>
  </si>
  <si>
    <t>086 897 6864</t>
  </si>
  <si>
    <t>D. O'Kane</t>
  </si>
  <si>
    <t>RETURN / RELEASE</t>
  </si>
  <si>
    <t>Rush Ginger Kitten - Tayto</t>
  </si>
  <si>
    <t>Has an infected jaw. Milbemax 02/08/2022</t>
  </si>
  <si>
    <t>Termonfeckin White Kitten - Cotton</t>
  </si>
  <si>
    <t>Dromiskin Centra - Kitten1</t>
  </si>
  <si>
    <t>Dromiskin Centra - Kitten2</t>
  </si>
  <si>
    <t>Dromiskin Centra - Kitten3</t>
  </si>
  <si>
    <t>May have ringworm. Bottle feeding.</t>
  </si>
  <si>
    <t>Castlebellingham Kitten9</t>
  </si>
  <si>
    <t>Castlebellingham Kitten10</t>
  </si>
  <si>
    <t>5-6 weeks</t>
  </si>
  <si>
    <t>Found on the side of the road - Rhiannon Eilis</t>
  </si>
  <si>
    <t>Dromiskin Centra - Kitten4</t>
  </si>
  <si>
    <t>Dundalk Haggardstown Marlbog Road - Kitten</t>
  </si>
  <si>
    <t>6-7 weeks</t>
  </si>
  <si>
    <t>Navan White Kitten1</t>
  </si>
  <si>
    <t>Navan White Kitten2</t>
  </si>
  <si>
    <t>Termonfeckin Seapoint Tortie Spinal Injury</t>
  </si>
  <si>
    <t>2-years</t>
  </si>
  <si>
    <t>Baltray Adult Female</t>
  </si>
  <si>
    <t>CONTACT NAME</t>
  </si>
  <si>
    <t>CONTACT NUMBER</t>
  </si>
  <si>
    <t>P. Maquire</t>
  </si>
  <si>
    <t>Termonfeckin / Baltray Road Kitten (George)</t>
  </si>
  <si>
    <t>1-2 years</t>
  </si>
  <si>
    <t>Baltray Adult Female-Kitten1</t>
  </si>
  <si>
    <t>Baltray Adult Female-Kitten2</t>
  </si>
  <si>
    <t>5-months</t>
  </si>
  <si>
    <t>Ballapousta Coal Bunker Kitten1</t>
  </si>
  <si>
    <t>Ballapousta Coal Bunker Kitten2</t>
  </si>
  <si>
    <t>Ballapousta Coal Bunker Kitten3</t>
  </si>
  <si>
    <t>Ballapousta Coal Bunker Kitten4</t>
  </si>
  <si>
    <t>Ballapousta Coal Bunker Kitten5</t>
  </si>
  <si>
    <t>Anne</t>
  </si>
  <si>
    <t>085 122 5714</t>
  </si>
  <si>
    <t>M1 Motorway Cat (Mustang Sally)</t>
  </si>
  <si>
    <t>In heat when found.</t>
  </si>
  <si>
    <t>Front leg fracture. Orthopaedic surgery w/plate in front leg (16/09/2022). Advocate 15/08/2022 and 15/09/2022. Milbemax 15/09/2022. Ear Mites</t>
  </si>
  <si>
    <t>Grove Hill Kitten (Caleb)</t>
  </si>
  <si>
    <t>4-months</t>
  </si>
  <si>
    <t>Arhipova</t>
  </si>
  <si>
    <t>Ilze</t>
  </si>
  <si>
    <t>16 Beechwood Drive</t>
  </si>
  <si>
    <t>Marley's Lane</t>
  </si>
  <si>
    <t>086 194 8355</t>
  </si>
  <si>
    <t>I. Arhipova</t>
  </si>
  <si>
    <t>The Cove Holiday View Caravan Park - Clogherhead Mama Cat</t>
  </si>
  <si>
    <t>3-4 years</t>
  </si>
  <si>
    <t>Ardee Kitten Hale Street</t>
  </si>
  <si>
    <t>3-months</t>
  </si>
  <si>
    <t>9-11 weeks</t>
  </si>
  <si>
    <t>Yellowbatter 29 Ascal A Haon Kitten1</t>
  </si>
  <si>
    <t>Yellowbatter 29 Ascal A Haon Kitten2</t>
  </si>
  <si>
    <t>Yellowbatter 29 Ascal A Haon Kitten3</t>
  </si>
  <si>
    <t>TABBY/WHITE</t>
  </si>
  <si>
    <t>Had received TriCat via Avenue Vets on Wednesday Sept 14th, 2022 - 1st Vaccination</t>
  </si>
  <si>
    <t>Castlebellingham Kitten7 - Sassy</t>
  </si>
  <si>
    <t>Castlebellingham Kitten8 - Star</t>
  </si>
  <si>
    <t xml:space="preserve">6-weeks </t>
  </si>
  <si>
    <t>Dunany Mother - Becca Kavanagh</t>
  </si>
  <si>
    <t>Dunany Kitten1 - Becca Kavanagh</t>
  </si>
  <si>
    <t>Dunany Kitten2 - Becca Kavanagh</t>
  </si>
  <si>
    <t>Mulrooney</t>
  </si>
  <si>
    <t>Elizabeth</t>
  </si>
  <si>
    <t>124 Bettystown Caravan Park</t>
  </si>
  <si>
    <t>Bettystown</t>
  </si>
  <si>
    <t>A92 T86X</t>
  </si>
  <si>
    <t>083 364 0137</t>
  </si>
  <si>
    <t>E. Mulrooney</t>
  </si>
  <si>
    <t>V1 DATE</t>
  </si>
  <si>
    <t>V2 DATE</t>
  </si>
  <si>
    <t>Suspected Parvo</t>
  </si>
  <si>
    <t>Shevlin Kitten (Dot) - Dunany</t>
  </si>
  <si>
    <t>Has an infected eye (O'Dowd Vet) and Allpets (16/09/2022 - Flu like symptoms. No Hitemp. Eye drops given)</t>
  </si>
  <si>
    <t>Sand Pit</t>
  </si>
  <si>
    <t>Termonfeckin</t>
  </si>
  <si>
    <t>Daly</t>
  </si>
  <si>
    <t>Lydia</t>
  </si>
  <si>
    <t>087 285 2355</t>
  </si>
  <si>
    <t>L. Daly</t>
  </si>
  <si>
    <t>Laytown Kitten - Laya / Layla</t>
  </si>
  <si>
    <t>Handed into the Laytown Clinic. Liquid Parazole on 08/09/2022 for 3-consecutive days. Effipro (Ticks &amp; Fleas) 26/09/2022. Milbemax Kitten 30/09/2022</t>
  </si>
  <si>
    <t>DOB 29/04/2022</t>
  </si>
  <si>
    <t>VETERINARY PRACTICE</t>
  </si>
  <si>
    <t>PHONE NUMBER</t>
  </si>
  <si>
    <t>ADDRESS</t>
  </si>
  <si>
    <t>Westgate</t>
  </si>
  <si>
    <t>041 983 8718</t>
  </si>
  <si>
    <t>Allpets</t>
  </si>
  <si>
    <t>041 981 0000</t>
  </si>
  <si>
    <t>A92 R2D6</t>
  </si>
  <si>
    <t>Michael</t>
  </si>
  <si>
    <t>Rooney</t>
  </si>
  <si>
    <t>087 367 2118</t>
  </si>
  <si>
    <t>Rachael</t>
  </si>
  <si>
    <t>089 413 2727</t>
  </si>
  <si>
    <t>R. Rooney</t>
  </si>
  <si>
    <t>M. Rooney</t>
  </si>
  <si>
    <t>Darver Kitten - Grey Tabby</t>
  </si>
  <si>
    <t>5-6 months</t>
  </si>
  <si>
    <t>Haggardstown, Dundalk Kitten1</t>
  </si>
  <si>
    <t>Haggardstown, Dundalk Kitten4</t>
  </si>
  <si>
    <t>Mackarel Tabby Kitten</t>
  </si>
  <si>
    <t>Carrickmacross Co Monaghan Kitten3</t>
  </si>
  <si>
    <t>Murphy</t>
  </si>
  <si>
    <t>Suzanne</t>
  </si>
  <si>
    <t>083 861 9313</t>
  </si>
  <si>
    <t>A92 YWV7</t>
  </si>
  <si>
    <t>24 Ascal A Tri</t>
  </si>
  <si>
    <t>Yellowbatter</t>
  </si>
  <si>
    <t>S. Murphy</t>
  </si>
  <si>
    <t>Given NexGard 04/10/2022</t>
  </si>
  <si>
    <t>Friendly cat. Not in good condition. Diagnosed with the Calicivirus. Tested +ve for HIV 06/10/2022</t>
  </si>
  <si>
    <t>Went missing 06/10/2022 from P. McDowell's stable</t>
  </si>
  <si>
    <t>Cedarfield Mammy</t>
  </si>
  <si>
    <t>Cedarfield Mammy Kitten1</t>
  </si>
  <si>
    <t>Cedarfield Mammy Kitten2</t>
  </si>
  <si>
    <t>Bottle Feeder. Milbemax at V1 15/09/2022. Advocate &amp; Milbemax 07/10/2022. Ear mites (Surolan)</t>
  </si>
  <si>
    <t>Sally's Sister1 - Gladys Dundalk</t>
  </si>
  <si>
    <t>Sally's Brother (Sully) - Gladys Dundalk</t>
  </si>
  <si>
    <t>Krasovska</t>
  </si>
  <si>
    <t>K. Krasovska</t>
  </si>
  <si>
    <t>A bit feral. Mother cat was neutered via finder. 05/10/2022 (Admitted to WG suspected Parvo)</t>
  </si>
  <si>
    <t>Noroclav, Metacam, Chloromycetin - Cat Flu</t>
  </si>
  <si>
    <t>A bit skittish.</t>
  </si>
  <si>
    <t>Feral Kitten1 - Moneymore</t>
  </si>
  <si>
    <t>Feral Kitten2 - Moneymore</t>
  </si>
  <si>
    <t>Adult</t>
  </si>
  <si>
    <t>Princess - Mother Cat (Balbriggan)</t>
  </si>
  <si>
    <t>Taken from kittens (four kittens - aged 6-weeks). May have mastitis due to teats full of milk.</t>
  </si>
  <si>
    <t>086 192 4817</t>
  </si>
  <si>
    <t>089 604 0323</t>
  </si>
  <si>
    <t>Has diarrhoea with scalding on bum and legs. Liquid Parazole (1.4 kg weight) Sept 23rd to Sept 25th. 
08/10/2022 - pneumonia in lungs, not eating, severe diarrhoea, not well with poor prognosis.</t>
  </si>
  <si>
    <t>6 Glen Boan</t>
  </si>
  <si>
    <t>Donacarney Little</t>
  </si>
  <si>
    <t>A92 P59T</t>
  </si>
  <si>
    <t>085 726 9560</t>
  </si>
  <si>
    <t>Silva</t>
  </si>
  <si>
    <t>Claudia de</t>
  </si>
  <si>
    <t>C.Silva</t>
  </si>
  <si>
    <t>Liquid Parazole and Solid Milbemax 03/10/2022</t>
  </si>
  <si>
    <t>Ear Mites. Give NexGard on 21/10/2022 during 2nd vaccination</t>
  </si>
  <si>
    <t>NexGard 06/10/2022</t>
  </si>
  <si>
    <t>NexGard</t>
  </si>
  <si>
    <t>Rescued from 7-8 yo children. Being mistreated. Passed away due to Parvovirus (WG Vet)</t>
  </si>
  <si>
    <t>GoodWood Fuel Store North Quay Cat</t>
  </si>
  <si>
    <t>Fieldstown Kitten1 - Jim McGovern</t>
  </si>
  <si>
    <t>Darver Kitten1 - Mairead McDonnell</t>
  </si>
  <si>
    <t>Darver Kitten2 - Mairead McDonnell</t>
  </si>
  <si>
    <t>Darver Kitten3 - Mairead McDonnell</t>
  </si>
  <si>
    <t>Darver Kitten4 - Mairead McDonnell</t>
  </si>
  <si>
    <t>Darver Kitten6 - Mairead McDonnell</t>
  </si>
  <si>
    <t>Darver Kitten5 - Mairead McDonnell</t>
  </si>
  <si>
    <t>Fieldstown Kitten2 - Jim McGovern</t>
  </si>
  <si>
    <t>Fieldstown Kitten3 - Jim McGovern</t>
  </si>
  <si>
    <t>Fieldstown Kitten4 - Jim McGovern</t>
  </si>
  <si>
    <t>Campbell</t>
  </si>
  <si>
    <t>Edel</t>
  </si>
  <si>
    <t>086 803 4057</t>
  </si>
  <si>
    <t>A92 DX93</t>
  </si>
  <si>
    <t>Monasterboice</t>
  </si>
  <si>
    <t>Tullyesker</t>
  </si>
  <si>
    <t>Cockle Road</t>
  </si>
  <si>
    <t>E. Campbell</t>
  </si>
  <si>
    <t>Balbriggan B/W Female</t>
  </si>
  <si>
    <t>16-weeks</t>
  </si>
  <si>
    <t>Hewitt</t>
  </si>
  <si>
    <t>Lynda</t>
  </si>
  <si>
    <t>L. Hewitt</t>
  </si>
  <si>
    <t>Kitten1</t>
  </si>
  <si>
    <t>Kitten2</t>
  </si>
  <si>
    <t>Bryanstown Ginger Adult</t>
  </si>
  <si>
    <t xml:space="preserve">Has been diagnosed with FIV. Has a hole in nose and kidney problems. </t>
  </si>
  <si>
    <t>Foley's Pub Kitten - Mell, Drogheda</t>
  </si>
  <si>
    <t>RECLAIMED</t>
  </si>
  <si>
    <t>Kitten name is Milo. 083 028 4614 / 089 446 9023</t>
  </si>
  <si>
    <t xml:space="preserve">7-8 weeks </t>
  </si>
  <si>
    <t>Weight on 01/11/2022 - 460 grams. Started Liquid Parazole (0.5 ml)</t>
  </si>
  <si>
    <t>Given Advocate on 01/11/2022. Ear Mites</t>
  </si>
  <si>
    <t>Gallagher</t>
  </si>
  <si>
    <t>Nicola</t>
  </si>
  <si>
    <t>45 Bremore Pastures Park</t>
  </si>
  <si>
    <t>087 653 9452</t>
  </si>
  <si>
    <t>N. Gallagher</t>
  </si>
  <si>
    <t>Balbriggan Kitten - Oíche</t>
  </si>
  <si>
    <t>Ward Cat4 - Liz Murphy</t>
  </si>
  <si>
    <t>Ward Cat5 - Liz Murphy</t>
  </si>
  <si>
    <t>Ward Cat6 - Liz Murphy</t>
  </si>
  <si>
    <t>Glennon</t>
  </si>
  <si>
    <t>Zuza</t>
  </si>
  <si>
    <t>11 The Vale</t>
  </si>
  <si>
    <t>Whitefield Manor</t>
  </si>
  <si>
    <t>085 152 6675</t>
  </si>
  <si>
    <t>Z. Glennon</t>
  </si>
  <si>
    <t>Belgrath, Co Meath -  Kitten 'Belle'</t>
  </si>
  <si>
    <t>LAYTOWN CLINIC</t>
  </si>
  <si>
    <t>Duleek Vets 22/10/2022 (Eye Drops, Antibiotic Injection, Steroid Injection) 
Laytown Clinic 01/11/2022 (Oral Antibiotics and different eye drops than pervious. Not wormed or vaccinted due to cat flu)</t>
  </si>
  <si>
    <t>Ballymascanlon Hotel - Kitten1</t>
  </si>
  <si>
    <t>Ballymascanlon Hotel - Kitten2</t>
  </si>
  <si>
    <t>Ballymascanlon Hotel - Kitten3</t>
  </si>
  <si>
    <t>4-years</t>
  </si>
  <si>
    <t>Snowball - White Cat (Crazy Woman Ann O'Rourke)</t>
  </si>
  <si>
    <t>Left in by a mentally unstable woman claiming it was a stray but DAR subsequently found out via Tina O'Brien (Allpets) that it was her own cat.
12/09/2022 Advocate (AllPets)</t>
  </si>
  <si>
    <t>Milbemax Wormer 24/10/2022</t>
  </si>
  <si>
    <t xml:space="preserve">Mell Tom </t>
  </si>
  <si>
    <t>1-Year</t>
  </si>
  <si>
    <t>Dromiskin Young Female Cat - 'Louth Dog Pound'</t>
  </si>
  <si>
    <t>Found hiding in back of a rubbage bin on the laneway besides Boyle Sports, Shop Street, Drogheda</t>
  </si>
  <si>
    <t>Boyle Sport Kitten - Shop Street</t>
  </si>
  <si>
    <t>5 Months</t>
  </si>
  <si>
    <t>Carolan</t>
  </si>
  <si>
    <t>Rebecca</t>
  </si>
  <si>
    <t>R. Carolan</t>
  </si>
  <si>
    <t>Bettystown Kitten - Male 'Columbo'</t>
  </si>
  <si>
    <t>St. Finian's Park Kitten 'Jessy'</t>
  </si>
  <si>
    <t>Seán</t>
  </si>
  <si>
    <t>Ó Cearrúlláin</t>
  </si>
  <si>
    <t>086 814 8526</t>
  </si>
  <si>
    <t>A92 PNW8</t>
  </si>
  <si>
    <t>22 Blackbush Avenue</t>
  </si>
  <si>
    <t>S. Ó Cearrúlláin</t>
  </si>
  <si>
    <t>Pearse Park Kitten2 - Therese Moore</t>
  </si>
  <si>
    <t>Pearse Park Kitten3 - Therese Moore</t>
  </si>
  <si>
    <t>Darver Kitten7 - Mairead McDonnell</t>
  </si>
  <si>
    <t>Brooker</t>
  </si>
  <si>
    <t>Jenni</t>
  </si>
  <si>
    <t>78 Newhaven Bay</t>
  </si>
  <si>
    <t>085 815 3538</t>
  </si>
  <si>
    <t>J. Brooker</t>
  </si>
  <si>
    <t>4 months</t>
  </si>
  <si>
    <t>Laytown Veterinary Clinic</t>
  </si>
  <si>
    <t>041 213 6168</t>
  </si>
  <si>
    <t>One Eyed B/W Kitten -Súil</t>
  </si>
  <si>
    <t>Handed into WG Vets to be PTS. Had eye injury at the time. Surgery was 19/08/2022
Milbemax given on date of eye surgery.
NexGard 18/11/2022 (Dispensed) and 21/11/2022 (Given)</t>
  </si>
  <si>
    <t>Greenore Kittens Lot 2 Kitten7</t>
  </si>
  <si>
    <t>Greenore Kittens Mama</t>
  </si>
  <si>
    <t>West Street Kitten</t>
  </si>
  <si>
    <t>4-Months</t>
  </si>
  <si>
    <t>5-Years</t>
  </si>
  <si>
    <t>Came in with a chest infection (antibiotics).</t>
  </si>
  <si>
    <t>Convenia, metacam (injection), Advocate, and Ears Cleaned</t>
  </si>
  <si>
    <t>Hardman's Garden - Centra Shop Kitten</t>
  </si>
  <si>
    <t>2.5 months</t>
  </si>
  <si>
    <t>Wormed with Milbemax on 11/11/2022</t>
  </si>
  <si>
    <t>Hardman's Garden - Centra Shop Adult</t>
  </si>
  <si>
    <t>Westgate Veterinary Clinic - Grainne Kitten</t>
  </si>
  <si>
    <t>PureVax</t>
  </si>
  <si>
    <t>3-4 Months</t>
  </si>
  <si>
    <t>DATE</t>
  </si>
  <si>
    <t>CAT NAME</t>
  </si>
  <si>
    <t>AMOUNT</t>
  </si>
  <si>
    <t>George</t>
  </si>
  <si>
    <t>4-5.5 Months</t>
  </si>
  <si>
    <t>DIFE Kitten</t>
  </si>
  <si>
    <t>Moneymore Kitten</t>
  </si>
  <si>
    <t>Adrian</t>
  </si>
  <si>
    <t>17-18 Weeks</t>
  </si>
  <si>
    <t>Buttons</t>
  </si>
  <si>
    <t>12-13 Weeks</t>
  </si>
  <si>
    <t>Snowball</t>
  </si>
  <si>
    <t>Cotton</t>
  </si>
  <si>
    <t>Stephen</t>
  </si>
  <si>
    <t>Tango</t>
  </si>
  <si>
    <t>Cash</t>
  </si>
  <si>
    <t>13-17 Weeks</t>
  </si>
  <si>
    <t xml:space="preserve">13-17 Weeks </t>
  </si>
  <si>
    <t>Chloe</t>
  </si>
  <si>
    <t>20-Weeks</t>
  </si>
  <si>
    <t>Duleek Kitten</t>
  </si>
  <si>
    <t>Tori</t>
  </si>
  <si>
    <t>21-Weeks</t>
  </si>
  <si>
    <t>Rocky</t>
  </si>
  <si>
    <t>18-19 Weeks</t>
  </si>
  <si>
    <t>Rambo</t>
  </si>
  <si>
    <t>13-14 Weeks</t>
  </si>
  <si>
    <t>DIFE Mammy Kitten</t>
  </si>
  <si>
    <t>Súil</t>
  </si>
  <si>
    <t>6-Months</t>
  </si>
  <si>
    <t>Sandra</t>
  </si>
  <si>
    <t>Teddy</t>
  </si>
  <si>
    <t>Moneymore Feral</t>
  </si>
  <si>
    <t>Mell Tom</t>
  </si>
  <si>
    <t>3-Years</t>
  </si>
  <si>
    <t>Minnie</t>
  </si>
  <si>
    <t>Enzo</t>
  </si>
  <si>
    <t>6-7 Months</t>
  </si>
  <si>
    <t>Maestro</t>
  </si>
  <si>
    <t>Tigger</t>
  </si>
  <si>
    <t>Ginny</t>
  </si>
  <si>
    <t>Luna</t>
  </si>
  <si>
    <t>10-Weeks</t>
  </si>
  <si>
    <t>Minty</t>
  </si>
  <si>
    <t>Maddie</t>
  </si>
  <si>
    <t>Tilly</t>
  </si>
  <si>
    <t>Mia</t>
  </si>
  <si>
    <t>Tinkerbell</t>
  </si>
  <si>
    <t>5-Months</t>
  </si>
  <si>
    <t xml:space="preserve">Baltray </t>
  </si>
  <si>
    <t>Dairy Dave</t>
  </si>
  <si>
    <t>Kairo</t>
  </si>
  <si>
    <t>1-2 Years</t>
  </si>
  <si>
    <t>Milo</t>
  </si>
  <si>
    <t>Cleo</t>
  </si>
  <si>
    <t>2-Years</t>
  </si>
  <si>
    <t>Charlie</t>
  </si>
  <si>
    <t>Toby</t>
  </si>
  <si>
    <t>Mustang Sally</t>
  </si>
  <si>
    <t>Pan</t>
  </si>
  <si>
    <t>9-Weeks</t>
  </si>
  <si>
    <t>Reg</t>
  </si>
  <si>
    <t>Cuddles</t>
  </si>
  <si>
    <t>Samantha</t>
  </si>
  <si>
    <t>Dave</t>
  </si>
  <si>
    <t>Layla</t>
  </si>
  <si>
    <t>12-Weeks</t>
  </si>
  <si>
    <t>Beamore Mammy</t>
  </si>
  <si>
    <t>Patches</t>
  </si>
  <si>
    <t>10-12 Weeks</t>
  </si>
  <si>
    <t>2-3 Years</t>
  </si>
  <si>
    <t>Dee</t>
  </si>
  <si>
    <t>Dairy Danny</t>
  </si>
  <si>
    <t>Moses</t>
  </si>
  <si>
    <t>3-Months</t>
  </si>
  <si>
    <t>Spud</t>
  </si>
  <si>
    <t>Sprout</t>
  </si>
  <si>
    <t>7-Weeks</t>
  </si>
  <si>
    <t>8-Weeks</t>
  </si>
  <si>
    <t>Polly's Kitten</t>
  </si>
  <si>
    <t>Priscilla</t>
  </si>
  <si>
    <t>Elaine's Kitten</t>
  </si>
  <si>
    <t>Boss</t>
  </si>
  <si>
    <t>8-Months</t>
  </si>
  <si>
    <t>Lucy</t>
  </si>
  <si>
    <t>Big Ears</t>
  </si>
  <si>
    <t>Young Adult</t>
  </si>
  <si>
    <t>DIFE Grey</t>
  </si>
  <si>
    <t>7-8 Month</t>
  </si>
  <si>
    <t>Florence</t>
  </si>
  <si>
    <t>Bonnie</t>
  </si>
  <si>
    <t>7-8 Months</t>
  </si>
  <si>
    <t>Mr Miaow</t>
  </si>
  <si>
    <t>Ed</t>
  </si>
  <si>
    <t>Bella</t>
  </si>
  <si>
    <t>7-Months</t>
  </si>
  <si>
    <t>Slane Kitten</t>
  </si>
  <si>
    <t>Slane Credit Union</t>
  </si>
  <si>
    <t>2.5 Years</t>
  </si>
  <si>
    <t>Smokey</t>
  </si>
  <si>
    <t>Gunther</t>
  </si>
  <si>
    <t>Daisy</t>
  </si>
  <si>
    <t>11-Months</t>
  </si>
  <si>
    <t>Jessie</t>
  </si>
  <si>
    <t>4-5 Months</t>
  </si>
  <si>
    <t>TOTAL AMOUNT</t>
  </si>
  <si>
    <t>The Cove Holiday View Caravan Park - Kitten1 (Forrest)</t>
  </si>
  <si>
    <t>DOB 15/09/2022</t>
  </si>
  <si>
    <t>Fagioli</t>
  </si>
  <si>
    <t>Carlotta</t>
  </si>
  <si>
    <t>71 Ascal A Haon</t>
  </si>
  <si>
    <t>A92 FEX7</t>
  </si>
  <si>
    <t>087 918 0536</t>
  </si>
  <si>
    <t>C. Fagioli</t>
  </si>
  <si>
    <t>One other kitten (Ginger male) left to be caught. Advocate 06/10/2022</t>
  </si>
  <si>
    <t>DLH</t>
  </si>
  <si>
    <t>Carrickmacross Co Monaghan Kitten1 - 'Loop'</t>
  </si>
  <si>
    <t>Milbemax Nov 26th, 2022 and NexGard on Dec 28th, 2022</t>
  </si>
  <si>
    <t>Wormed with Milbemax 16/11/2022 and NexGard 28/12/2022</t>
  </si>
  <si>
    <t>Rescued from 7-8 yo children. Being mistreated. Milbemax 05/11/2022. NexGard Combo 23/12/2022</t>
  </si>
  <si>
    <t>Very sore and infected eyes. Mother abandoned, Milbemax 25/11/2022 and 02/01/2023</t>
  </si>
  <si>
    <t>Very sore and infected eyes. Mother abandoned, Milbemax 25/11/2022 and 02/01/2023. Right eyelids are closed over and may be missing the eye.</t>
  </si>
  <si>
    <t>Very sore and infected eyes. Mother abandoned, Milbemax 25/11/2022 and 02/01/2023. Third eyelid is visible. May have an infection.</t>
  </si>
  <si>
    <t>Ardee Kitten  - Boys' National School</t>
  </si>
  <si>
    <t>Came into DAR via O'Dowd's Vet in Ardee (ringworm on ear). Was PTS due to a neurological disorder.</t>
  </si>
  <si>
    <t>Monasterboice Cat - Cockle Road - Fahy 'Teddy'</t>
  </si>
  <si>
    <t>TNR</t>
  </si>
  <si>
    <t>TNR however can be rehomed as a pet cat</t>
  </si>
  <si>
    <t>Osprey Lodge Ginger Cat - Seapoint, Termonfeckin</t>
  </si>
  <si>
    <t>Scally Wags Togher Cat - Degloved Tail</t>
  </si>
  <si>
    <t>TNR at Scally Wags. Tail was degloved and removed on 22/12/2022 via Westgate</t>
  </si>
  <si>
    <t>P. Maguire</t>
  </si>
  <si>
    <t>Maxwell</t>
  </si>
  <si>
    <t>M. Maxwell</t>
  </si>
  <si>
    <t>Donore Road Black Kitten</t>
  </si>
  <si>
    <t>12-14 Weeks</t>
  </si>
  <si>
    <t>2.06-kg on intake and given Milbemax Wormer on 03/01/2023</t>
  </si>
  <si>
    <t xml:space="preserve">Suspect RTA. Finder took to Avenue Vets: 1) Antibiotic Injection, 2) Flea Treatment, 3) Worm Treatment, 4) Ear Clean. Minor cuts </t>
  </si>
  <si>
    <t>8-12 months</t>
  </si>
  <si>
    <t>DOB  01/09/2013</t>
  </si>
  <si>
    <t>Owner deceased. No vaccination history. Neutered at WG on Feb 05th, 2014</t>
  </si>
  <si>
    <t xml:space="preserve">8-Weeks </t>
  </si>
  <si>
    <t>Found abandoned in lady's garden. Dark brown Tabby kitten.</t>
  </si>
  <si>
    <t>Has cat flu. Not microchipped.</t>
  </si>
  <si>
    <t>Gina Lara Lusk Cat</t>
  </si>
  <si>
    <t>Athboy Black Male</t>
  </si>
  <si>
    <t>Dunleer - Duffy's Toy World Injured Cat</t>
  </si>
  <si>
    <t>FIV and FELV positive. Very sore paw pads.</t>
  </si>
  <si>
    <t>Sway - Owner Passed Away</t>
  </si>
  <si>
    <t>SABLE</t>
  </si>
  <si>
    <t>Balbriggn Market Green Stray - Rosie</t>
  </si>
  <si>
    <t>Milbemax and Bravecto treatment on Friday Dec 30th, 2022</t>
  </si>
  <si>
    <t>Balbriggan Female</t>
  </si>
  <si>
    <t>Owner taken to hospital</t>
  </si>
  <si>
    <t>Advocate Flea Treatment 17/11/2022 and Milbemax 17/11/2022</t>
  </si>
  <si>
    <t>Has a previous spinal injury leaving her with mild ataxia and mild proprioception deficits. 
Milbemax and Advocate 16/09/2022. X-Ray showed spinal injuries - non-recoverable PTS.</t>
  </si>
  <si>
    <t>Had Parvovirus (WG). Ringworm and Ear Mites (Surolan). Advocate + Milbemax 18/10/2022. Milbemax 15/11/2022. Neutered 06/01/23 WG</t>
  </si>
  <si>
    <t>Had Parvovirus (WG). Ear Mites (Surolan). Advocate + Milbemax 18/10/2022. Milbemax 15/11/2022. Neutered 06/01/23 WG</t>
  </si>
  <si>
    <t>Laytown Kittens X 4 - No 1</t>
  </si>
  <si>
    <t>Laytown Kittens X 4 - No 2</t>
  </si>
  <si>
    <t>Laytown Kittens X 4 - No 3</t>
  </si>
  <si>
    <t>Laytown Kittens X 4 - No 4</t>
  </si>
  <si>
    <t>DOB 25/11/2022</t>
  </si>
  <si>
    <t>Given Milbemax (WG) on 18/01/2023</t>
  </si>
  <si>
    <t>Weir Hope Cat - No 43 Michael Pugh</t>
  </si>
  <si>
    <t xml:space="preserve">Pat Whitty - Dromiskin Kitten1 </t>
  </si>
  <si>
    <t>Pat Whitty - Dromiskin Kitten2</t>
  </si>
  <si>
    <t xml:space="preserve">Has cat flu. Still recurring cat flu and given antibiotics and eye drops (Chloromycetin) plus NexGard on 21/10/2022. Also given injections (anti-inflammatory and antibiotic)
</t>
  </si>
  <si>
    <t>Chaud Fontaine</t>
  </si>
  <si>
    <t>Oak Drive Drogheda B/W Cat - 'Beau'</t>
  </si>
  <si>
    <t>2-Years Old</t>
  </si>
  <si>
    <t>087 224 6546</t>
  </si>
  <si>
    <t>Y. Campbell</t>
  </si>
  <si>
    <t>Balbriggan Male - 'Tom'</t>
  </si>
  <si>
    <t>Balbriggan Male - 'Jerry'</t>
  </si>
  <si>
    <t>Stamullen Cat 'Milo'</t>
  </si>
  <si>
    <t>Liz Murphy - Mollie</t>
  </si>
  <si>
    <t>DOB 27/10/2008</t>
  </si>
  <si>
    <t>O'Brien</t>
  </si>
  <si>
    <t>Tae</t>
  </si>
  <si>
    <t>66 Lia Bhrega</t>
  </si>
  <si>
    <t>The Twenties</t>
  </si>
  <si>
    <t xml:space="preserve">Drogheda </t>
  </si>
  <si>
    <t>A92 AEX4</t>
  </si>
  <si>
    <t>086 308 7681</t>
  </si>
  <si>
    <t>T. O'Brien</t>
  </si>
  <si>
    <t>Centra Hardman's Gardens Stray Cat</t>
  </si>
  <si>
    <t>In very poor condition. Severe ulcers on the roof of the mouth. Tested -ve for FIV. 
Due to feral nature and extent of ulcers with poor body condition, it was decided best to be PTS.</t>
  </si>
  <si>
    <t>Respiratory Distress and chronic cat flu.</t>
  </si>
  <si>
    <t>Deformed ears prone to infection. Advocate 07/12/2022 and NexGard 13/02/2023</t>
  </si>
  <si>
    <t>Black Rush Kitten - REF: Linda Romane 'Tom'</t>
  </si>
  <si>
    <t>Black Rush Kitten - REF: Linda Romane 'Jerry'</t>
  </si>
  <si>
    <t>Young Tabby - Seantobair, Clogherhead</t>
  </si>
  <si>
    <t>6-12 Months</t>
  </si>
  <si>
    <t>RTA. Handed into Westgate. X-Rays performed and no fractures or breaks.</t>
  </si>
  <si>
    <t>Carmelite Cottages Cat 'Charlie'</t>
  </si>
  <si>
    <t>Westcourt Estate Fluffy Cat - 'Cinderella'</t>
  </si>
  <si>
    <t>Already Neutered</t>
  </si>
  <si>
    <t>Barn Road - Dunleer RTA  Ginger &amp; White Tom</t>
  </si>
  <si>
    <t>Ginger &amp; White DLH Cat - 25 Rockfield Court, Dundalk -'Julia'</t>
  </si>
  <si>
    <t xml:space="preserve">Knightswood Estate, Drogheda </t>
  </si>
  <si>
    <t>35 Knights Wood</t>
  </si>
  <si>
    <t>Matthews Lane</t>
  </si>
  <si>
    <t>085 781 8351</t>
  </si>
  <si>
    <t>Sikorska</t>
  </si>
  <si>
    <t>Julia</t>
  </si>
  <si>
    <t>J. Sikorska</t>
  </si>
  <si>
    <t>Grange Rath Cat</t>
  </si>
  <si>
    <t>GREY/WHITE</t>
  </si>
  <si>
    <t>Castlebellingham Kitten4 - Spot</t>
  </si>
  <si>
    <t>Advocate &amp; Milbemax 18/08/2022 and 21/09/2022. NexGard on 15/02/2023</t>
  </si>
  <si>
    <t>&lt; 1 Year</t>
  </si>
  <si>
    <t>DIFE Moneymore Kitten1 - 'Apollo'</t>
  </si>
  <si>
    <t>DIFE Moneymore Kitten2 - 'Artamus'</t>
  </si>
  <si>
    <t>FIV and FELV positive. Wheezing as well.</t>
  </si>
  <si>
    <t>FIV and FELV positive. Damaged to paw and eye. Not viable</t>
  </si>
  <si>
    <t>John of God Facility Clogherhead, Co Louth - Feral</t>
  </si>
  <si>
    <t>Greenore Feral - REF Kate Zemen</t>
  </si>
  <si>
    <t>Skin cancer quite severe - PTS</t>
  </si>
  <si>
    <t>Ashfield Cat with Skin Cancer</t>
  </si>
  <si>
    <t>Yellowbatter Kitten7</t>
  </si>
  <si>
    <t>Yellowbatter Kitten6</t>
  </si>
  <si>
    <t>Dunleer Stray Cat</t>
  </si>
  <si>
    <t xml:space="preserve">Adult </t>
  </si>
  <si>
    <t>Missing teeth, very thin with bad fur. Tested positive for FIV. No MC and entire male.</t>
  </si>
  <si>
    <t>Sycamores, Greenhills, Drogheda</t>
  </si>
  <si>
    <t>FIV positive</t>
  </si>
  <si>
    <t>Lusk Ginger Tom</t>
  </si>
  <si>
    <t>Missing One lower tooth. Not microchipped. Very skinny with matted fur on tail. Had been straying for quite awhile. Ears need a deep clean.</t>
  </si>
  <si>
    <t>Lara</t>
  </si>
  <si>
    <t>Gina</t>
  </si>
  <si>
    <t>G. Lara</t>
  </si>
  <si>
    <t>Lusk Ginger Tom via Kate Brennan</t>
  </si>
  <si>
    <t>Feral Cat FIV/FELV testing with FIV positive</t>
  </si>
  <si>
    <t>Yarden Westgate Vet Kitten - Jordan</t>
  </si>
  <si>
    <t>Mulcahy</t>
  </si>
  <si>
    <t>Eileen</t>
  </si>
  <si>
    <t>17 Glenwood Abbey</t>
  </si>
  <si>
    <t>Tinure</t>
  </si>
  <si>
    <t>A92 N1K0</t>
  </si>
  <si>
    <t>E. Mulcahy</t>
  </si>
  <si>
    <t>Milbemax 18/01/2023 and NexGard 08/03/2023</t>
  </si>
  <si>
    <t>Milbemax 18/01/2023 and NexGard 08/03/2023. Diagnosed with ringworm on 08/3/2023</t>
  </si>
  <si>
    <t>Dunany White Feral Cat</t>
  </si>
  <si>
    <t>Cat was not in good condition and tested positive for FIV so was PTS as he was feral.</t>
  </si>
  <si>
    <t>Balbriggan Community Cat</t>
  </si>
  <si>
    <t>Was PTS as it was thought the cat was poisoned.</t>
  </si>
  <si>
    <t>Piperstown Cat</t>
  </si>
  <si>
    <t>Emergency hysterectomy. Cat had pyometra.</t>
  </si>
  <si>
    <t>May be pregnant.</t>
  </si>
  <si>
    <t>Clogherhead Tabby Cat - Via Emma Farrell</t>
  </si>
  <si>
    <t>Nobber Kitten1</t>
  </si>
  <si>
    <t>Nobber Kitten2</t>
  </si>
  <si>
    <t>Nobber Kitten3</t>
  </si>
  <si>
    <t>Nobber Kitten4</t>
  </si>
  <si>
    <t>Nobber Kitten5</t>
  </si>
  <si>
    <t>5-7 Months</t>
  </si>
  <si>
    <t>Magdalene Tower Cat - 'Whiskey'</t>
  </si>
  <si>
    <t>DOB 2008</t>
  </si>
  <si>
    <t>Both Eyes Removed due to severe and painful Glaucoma March 22nd, 2023 via Allpets</t>
  </si>
  <si>
    <t>087 611 1773</t>
  </si>
  <si>
    <t>Yellowbatter Kitten5 - Gabrielle E</t>
  </si>
  <si>
    <t>Parvovirus</t>
  </si>
  <si>
    <t>Was found in College Manor, Dundalk - was being kicked around by teenagers.</t>
  </si>
  <si>
    <t>Griffin</t>
  </si>
  <si>
    <t>Tina</t>
  </si>
  <si>
    <t>1 Fountain Hill</t>
  </si>
  <si>
    <t>Mell</t>
  </si>
  <si>
    <t>A92 CX4P</t>
  </si>
  <si>
    <t>086 062 1314</t>
  </si>
  <si>
    <t>T. Griffin</t>
  </si>
  <si>
    <t>Baby - Long Hair Ginger</t>
  </si>
  <si>
    <t>8-9 Years</t>
  </si>
  <si>
    <t>Brought to the vet to be PTS Surrendered by owner via Gina Lara.</t>
  </si>
  <si>
    <t>McKeon</t>
  </si>
  <si>
    <t>Joy</t>
  </si>
  <si>
    <t>J. McKeon</t>
  </si>
  <si>
    <t>Pearse Park - Neutered Black Male w/Cellulitis</t>
  </si>
  <si>
    <t>Admitted by finder as an emergency to Allpets on Sunday Night. Diagnoised with cellulitis on Left Hind Leg.</t>
  </si>
  <si>
    <t>Navan Cat - Marty</t>
  </si>
  <si>
    <t>5-6 Years Old</t>
  </si>
  <si>
    <t>Yellowbatter Mother - Mimi</t>
  </si>
  <si>
    <t>Paul Johnstone - Clogherhead Calico</t>
  </si>
  <si>
    <t>Paul Johnstone - Clogherhead Tabby</t>
  </si>
  <si>
    <t>Can be rehomed as a pet. Received NexGard on neutering date</t>
  </si>
  <si>
    <t>Greenlanes Cat - Twisted Neck</t>
  </si>
  <si>
    <t>Will have x-rays on neck when it goes in for neutering.</t>
  </si>
  <si>
    <t>RTA accident over the weekend. Left eye hanging out and needs to be removed (08/03/2024). NexGard 21/04/2023</t>
  </si>
  <si>
    <t>No MC Detected. Very Friendly Cat. Previously neutered. NexGard 13/02/2023</t>
  </si>
  <si>
    <t>Pearse Park RTA Cat - Odin</t>
  </si>
  <si>
    <t>Sylvie - Carrickmacross Kitten</t>
  </si>
  <si>
    <t>Hardman's Garden Centra Cat</t>
  </si>
  <si>
    <t xml:space="preserve">Very friendly cat. Not microchipped nor neutered. </t>
  </si>
  <si>
    <t>Was PTS due to postive FIV. Shenick Vet Stamullen</t>
  </si>
  <si>
    <t>6-Weeks</t>
  </si>
  <si>
    <t>These kittens were being given away on Facebook by a family living in Beechwood Drive off of Marley's Lane and were rescued and handed over to DAR.</t>
  </si>
  <si>
    <t>DOB 20/04/2023</t>
  </si>
  <si>
    <t>DOB 22/04/2023</t>
  </si>
  <si>
    <t>Naul TNR Cat - Michael Newe - Cat1</t>
  </si>
  <si>
    <t>Naul TNR Cat - Michael Newe - Cat2</t>
  </si>
  <si>
    <t>7-Years of Age</t>
  </si>
  <si>
    <t>DOB 09/04/2023</t>
  </si>
  <si>
    <t>O'Neill</t>
  </si>
  <si>
    <t>Carol</t>
  </si>
  <si>
    <t>C. ONeill</t>
  </si>
  <si>
    <t>5 Forest Grange</t>
  </si>
  <si>
    <t>086 192 6429</t>
  </si>
  <si>
    <t>Infested with fleas on intake. Given treatment by Westgate (EffiPro Spray)</t>
  </si>
  <si>
    <t>Byrne</t>
  </si>
  <si>
    <t>Susan</t>
  </si>
  <si>
    <t>48 Pearse Park</t>
  </si>
  <si>
    <t>089 249 2847</t>
  </si>
  <si>
    <t>S. Byrne</t>
  </si>
  <si>
    <t>Snowy - Surrender to WG</t>
  </si>
  <si>
    <t>FIV/FELV negative. Neutered, ear-tipped and re-release in Naul.</t>
  </si>
  <si>
    <t>Infested with fleas on intake. Given treatment by Westgate (EffiPro Spray). Thoracic cavity issues so had to be PTS.</t>
  </si>
  <si>
    <t>REF: Julie Leitao 085 778 5818. Bravecto on 10/02/2023, Advocate on 27/03/2023 and Milbemax on 21/04/2023 MC: 972 274 001 526 957</t>
  </si>
  <si>
    <t>Inniskeen Young Mother - Victoria</t>
  </si>
  <si>
    <t>Cedarfield Mother - Kitten4</t>
  </si>
  <si>
    <t>DOB 08/05/2023</t>
  </si>
  <si>
    <t>Balbriggan Bremore Pastures - Charity Case</t>
  </si>
  <si>
    <t>Neutering (Spay) Charity Case - Owner to keep.</t>
  </si>
  <si>
    <t>Carlingford Mother Cat - Tuxedo</t>
  </si>
  <si>
    <t>DOB 12/05/2023</t>
  </si>
  <si>
    <t>Bettystown Caravan Park Cat - Ali</t>
  </si>
  <si>
    <t>1 Year</t>
  </si>
  <si>
    <t>MICROCHIP NUM</t>
  </si>
  <si>
    <t>972 274 001 526 879</t>
  </si>
  <si>
    <t>FIV/FELV Test Negative - Advocate 12/04/2023 and Milbemax 16/04/2023. Advocate on 10/05/2023 and Milbemax 13/05/2023</t>
  </si>
  <si>
    <t>Majek</t>
  </si>
  <si>
    <t>Anna</t>
  </si>
  <si>
    <t>10 The Grove</t>
  </si>
  <si>
    <t>Martello Village</t>
  </si>
  <si>
    <t>A92 K253</t>
  </si>
  <si>
    <t>085 130 4378</t>
  </si>
  <si>
    <t>A. Majek</t>
  </si>
  <si>
    <t>Carmelite Cottages Feral Cat</t>
  </si>
  <si>
    <t>Was trapped as not well and injured. Passed away overnight.</t>
  </si>
  <si>
    <t>10-days</t>
  </si>
  <si>
    <t>Beechwood Cat Charity Case</t>
  </si>
  <si>
    <t>Beechwood, Marley's Lane Charity Case for owner.</t>
  </si>
  <si>
    <t>DOB 14/05/2023</t>
  </si>
  <si>
    <t>Had kittens in someone's front garden. Feral Cat</t>
  </si>
  <si>
    <t>Laytown Injured Cat</t>
  </si>
  <si>
    <t>Severely injured cat from Saint Anthony's Villas in Laytown. All legs broken, nails worn down to the quick, and multiple body wounds.</t>
  </si>
  <si>
    <t>Glenmore Drive Abandoned Box of Kittens 1</t>
  </si>
  <si>
    <t>Glenmore Drive Abandoned Box of Kittens 2</t>
  </si>
  <si>
    <t>Glenmore Drive Abandoned Box of Kittens 3</t>
  </si>
  <si>
    <t>3-Weeks</t>
  </si>
  <si>
    <t>Doyle</t>
  </si>
  <si>
    <t>Johanna</t>
  </si>
  <si>
    <t>085 872 6536</t>
  </si>
  <si>
    <t>84 Glenwood</t>
  </si>
  <si>
    <t>J. Doyle</t>
  </si>
  <si>
    <t>Sandyford Terrace Ginger Cat</t>
  </si>
  <si>
    <t>972 274 001 513 200</t>
  </si>
  <si>
    <t>Pearse Park Male1</t>
  </si>
  <si>
    <t>Pearse Park Male2</t>
  </si>
  <si>
    <t>Pearse Park Male3</t>
  </si>
  <si>
    <t>Sway</t>
  </si>
  <si>
    <t>Carlingford Kitten4 - Mischief</t>
  </si>
  <si>
    <t>Carlingford Kitten5 - Mayhem</t>
  </si>
  <si>
    <t>9 Months</t>
  </si>
  <si>
    <t>Advocate &amp; Milbemax 27/09/2022 and Milbemax 15/11/2022. NexGard 13/05/2023</t>
  </si>
  <si>
    <t>One kitten with deformed ear. Has cat flu and eye not too good. Antibiotic by injection / NS eye antibiotic / Wormed
Advocate &amp; Milbemax 27/09/2022 and Milbemax 15/11/2022. NexGard 13/05/2023</t>
  </si>
  <si>
    <t>10 Months</t>
  </si>
  <si>
    <t>Handed into WG by a member of the public on 23/03/2023. FIV Positive. Effipro and Milbemax on 28/03/2023. 5.6-kg on 28/03/2023</t>
  </si>
  <si>
    <t>Westgate Vet BIG TOM BurmeseX</t>
  </si>
  <si>
    <t>Inniskeen Young Mother - Victoria - Kitten1</t>
  </si>
  <si>
    <t>Inniskeen Young Mother - Victoria - Kitten2</t>
  </si>
  <si>
    <t>Inniskeen Young Mother - Victoria - Kitten3</t>
  </si>
  <si>
    <t>Inniskeen Young Mother - Victoria - Kitten4</t>
  </si>
  <si>
    <t>Inniskeen Young Mother - Victoria - Kitten5</t>
  </si>
  <si>
    <t>DOB 19/05/2023</t>
  </si>
  <si>
    <t xml:space="preserve">Big Tom BermeseX </t>
  </si>
  <si>
    <t>972 274 001 570 030</t>
  </si>
  <si>
    <t>Tom Cunningham Clogherhead TNR Tabby Kitten - Houdini</t>
  </si>
  <si>
    <t>Milbemax 21/01/2023</t>
  </si>
  <si>
    <t>7-9 Months</t>
  </si>
  <si>
    <t>John Kirk Park Clogherhead Kitten</t>
  </si>
  <si>
    <t>8-12 Weeks</t>
  </si>
  <si>
    <t>Dromiskin Cat - Amandine</t>
  </si>
  <si>
    <t>10-11 Months</t>
  </si>
  <si>
    <t>Circle K Cat - Walnut</t>
  </si>
  <si>
    <t>11-12 Months</t>
  </si>
  <si>
    <t>Houdini - Tom Cunningham TNR</t>
  </si>
  <si>
    <t>A92 KF8H</t>
  </si>
  <si>
    <t>ESB Dundalk Kitten1</t>
  </si>
  <si>
    <t>ESB Dundalk Kitten2</t>
  </si>
  <si>
    <t>2-2.5 Months</t>
  </si>
  <si>
    <t>Pearse Park TNR Job</t>
  </si>
  <si>
    <t>RETURN/RELEASE</t>
  </si>
  <si>
    <t>Ardee Kitten</t>
  </si>
  <si>
    <t>Pearse Park Stray Unwell Cat</t>
  </si>
  <si>
    <t>Tested positive for FIV. Very low white blood cell count.</t>
  </si>
  <si>
    <t>Treadagh View White Male</t>
  </si>
  <si>
    <t>Not in good condition when trapped. Tested positive for FIV.</t>
  </si>
  <si>
    <t>6-7 Weeks</t>
  </si>
  <si>
    <t>972 274 001 570 026</t>
  </si>
  <si>
    <t>Had cat flu at 3-4 weeks of age. Rescued by previous owner and was treated at the veterinary hospital for cat flu. Still has weepy eyes. 
Given Milbemax at V1 and Advocate (05/05/2023). Has an odd third eyelid which may have resulted from herpes virus when very young. 
Third eye was 'unstuck' during neutering.</t>
  </si>
  <si>
    <t>K32 KD93</t>
  </si>
  <si>
    <t>Pearse Park TNR Job - Kitten</t>
  </si>
  <si>
    <t>972 274 001 526 957</t>
  </si>
  <si>
    <t>Arnie</t>
  </si>
  <si>
    <t>DOB 14/07/2022</t>
  </si>
  <si>
    <t>Danny</t>
  </si>
  <si>
    <t>Morgan - Greenore Litter No. 2</t>
  </si>
  <si>
    <t>Nutmeg - Greenore Litter No. 2</t>
  </si>
  <si>
    <t>Grainne's Girl</t>
  </si>
  <si>
    <t>4.5-5.0 Months</t>
  </si>
  <si>
    <t>Becca Kavanagh Dunany Kitten - Miracle</t>
  </si>
  <si>
    <t xml:space="preserve">Button </t>
  </si>
  <si>
    <t>Loop</t>
  </si>
  <si>
    <t>16 - 17 Weeks</t>
  </si>
  <si>
    <t>15.5 - 16 Weeks</t>
  </si>
  <si>
    <t>Laytown Kitten - Timmy</t>
  </si>
  <si>
    <t>Yellowbatter Kitten - Penny</t>
  </si>
  <si>
    <t>5-6 Months</t>
  </si>
  <si>
    <t>Becca</t>
  </si>
  <si>
    <t>Laytown Kitten - Tommy</t>
  </si>
  <si>
    <t>Magdalene Tower Cat - Whiskey</t>
  </si>
  <si>
    <t>15-Years</t>
  </si>
  <si>
    <t>6 - 6.5 Month</t>
  </si>
  <si>
    <t>Greenore Kittens Lot 2 Kitten4 - Morgan</t>
  </si>
  <si>
    <t>Milbemax Nov 2nd and Dec 01st, 2022</t>
  </si>
  <si>
    <t>Greenore Kittens Lot 2 Kitten1 - Nutmeg</t>
  </si>
  <si>
    <t>Carrickmacross Co Monaghan Kitten2 - 'Button'</t>
  </si>
  <si>
    <t>972 274 001 526 876</t>
  </si>
  <si>
    <t>Castleblayney Bottle Feeders Kitten1</t>
  </si>
  <si>
    <t>Castleblayney Bottle Feeders Kitten2</t>
  </si>
  <si>
    <t>Castleblayney Bottle Feeders Kitten5</t>
  </si>
  <si>
    <t>Meadowview Stray Mother Kitten1</t>
  </si>
  <si>
    <t>Meadowview Stray Mother Kitten2</t>
  </si>
  <si>
    <t>Meadowview Stray Mother Kitten3</t>
  </si>
  <si>
    <t>Meadowview Stray Mother Kitten4</t>
  </si>
  <si>
    <t>18 Beechmont Avenue</t>
  </si>
  <si>
    <t>Stameen</t>
  </si>
  <si>
    <t>086 445 5800</t>
  </si>
  <si>
    <t>4-Weeks</t>
  </si>
  <si>
    <t>Last Hope Kitten1</t>
  </si>
  <si>
    <t>Last Hope Kitten2</t>
  </si>
  <si>
    <t>Last Hope Kitten3</t>
  </si>
  <si>
    <t>DOB 24/05/2023</t>
  </si>
  <si>
    <t>Brought into Allpets by a member of the public. Broken front leg humerus bone. Will need orthopaedic surgery.</t>
  </si>
  <si>
    <t>Paughanstown, Philipstown Aileen Callan Mother Cat</t>
  </si>
  <si>
    <t>Paughanstown, Philipstown Aileen Callan Mother Kitten1</t>
  </si>
  <si>
    <t>Paughanstown, Philipstown Aileen Callan Mother Kitten2</t>
  </si>
  <si>
    <t>6-8 Weeks</t>
  </si>
  <si>
    <t xml:space="preserve">Station Road, Duleek, Co Meath RTA </t>
  </si>
  <si>
    <t>Brought into Allpets by a member of the public. Broken hind leg. Will need orthopaedic surgery.</t>
  </si>
  <si>
    <t>R. Mullagh</t>
  </si>
  <si>
    <t>Mullagh</t>
  </si>
  <si>
    <t>Rose</t>
  </si>
  <si>
    <t>083 124 2076</t>
  </si>
  <si>
    <t xml:space="preserve">Trotters Independent Trading Kitten </t>
  </si>
  <si>
    <t>Carrickmacross</t>
  </si>
  <si>
    <t>5-Weeks</t>
  </si>
  <si>
    <t>Slane / Navan Road Kitten</t>
  </si>
  <si>
    <t>Brought into Allpets by the Drogheda Garda. Fractured lower jaw and damaged tail requiring surgery. Loss of lower jaw tissue. PTS due to suspected parvovirus.</t>
  </si>
  <si>
    <t>8-9 Weeks</t>
  </si>
  <si>
    <t>Lynch</t>
  </si>
  <si>
    <t>Niamh</t>
  </si>
  <si>
    <t>087 616 1795</t>
  </si>
  <si>
    <t>N. Lynch</t>
  </si>
  <si>
    <t>Brought in from a Regional Road between Delvin and Mullingar. Kitten along with others, was thrown into a grassy field from a car. Suspected contracted Parvovirus and had to be PTS.</t>
  </si>
  <si>
    <t>Found in a drain by a child in the estate. Had to be PTS. Suspected Parvovirus.</t>
  </si>
  <si>
    <t>R. McEneaney</t>
  </si>
  <si>
    <t>McEneaney</t>
  </si>
  <si>
    <t>086 390 6859</t>
  </si>
  <si>
    <t>Glen Dimplex Dunleer Kitten</t>
  </si>
  <si>
    <t>Pearse Park TNR</t>
  </si>
  <si>
    <t>Mell Corn Field Kitten</t>
  </si>
  <si>
    <t>DOB 14/06/2023</t>
  </si>
  <si>
    <t>Dundalk GAA Kitten - Dubh</t>
  </si>
  <si>
    <t>Received Flea and Worm Treatment via Avenue Vets on 12/06/2023</t>
  </si>
  <si>
    <t>Holmes</t>
  </si>
  <si>
    <t>Paula</t>
  </si>
  <si>
    <t>One Mile House</t>
  </si>
  <si>
    <t>Kells Road</t>
  </si>
  <si>
    <t>Collon</t>
  </si>
  <si>
    <t>A92 A2R0</t>
  </si>
  <si>
    <t>085 838 1858</t>
  </si>
  <si>
    <t>P. Holmes</t>
  </si>
  <si>
    <t>DIFE Mammy Kitten2</t>
  </si>
  <si>
    <t>06/98/2022</t>
  </si>
  <si>
    <t>Received solid wormer on 25/06/2022 - Allpets and 13/08/2022 - Shenick Vet</t>
  </si>
  <si>
    <t>DOB 06/06/2022 (Est)</t>
  </si>
  <si>
    <t>Opspray House Cat</t>
  </si>
  <si>
    <t>GREENORE KITTEN2 - Sheeran</t>
  </si>
  <si>
    <t>DOB 10/05/2022 (Est)</t>
  </si>
  <si>
    <t>Dunany Farmhouse Kitten1 - Cash</t>
  </si>
  <si>
    <t>Dunany Farmhouse Kitten2 - Tango</t>
  </si>
  <si>
    <t>Via Patricia McDowell. Liquid Parazole 07/08/2022 and Milbemax 12/09/2022</t>
  </si>
  <si>
    <t>Milbemax Solid Wormer 18/06/2022 an 23/07/2022</t>
  </si>
  <si>
    <t>DOB 18/03/2022 (Est)</t>
  </si>
  <si>
    <t>5.25 Months</t>
  </si>
  <si>
    <t>GREENORE KITTEN1 - Rambo</t>
  </si>
  <si>
    <t>Milbemax 14/07/2022 and 11/08/2022</t>
  </si>
  <si>
    <t>Suspected CH. NexGard 30/09/2022</t>
  </si>
  <si>
    <t>Greenore Kittens Lot 2 Kitten5 - Loki</t>
  </si>
  <si>
    <t>GREENORE KITTEN3 - Louis</t>
  </si>
  <si>
    <t>GREENORE KITTEN4 - Snowball</t>
  </si>
  <si>
    <t>Milbemax 13/05/2023</t>
  </si>
  <si>
    <t>Sylvie</t>
  </si>
  <si>
    <t>DOB 29/12/2022</t>
  </si>
  <si>
    <t>Ali</t>
  </si>
  <si>
    <t>DOB 11/05/2022</t>
  </si>
  <si>
    <t>DOB 14/09/2022</t>
  </si>
  <si>
    <t>McDonnell</t>
  </si>
  <si>
    <t>Eve</t>
  </si>
  <si>
    <t>20 Creveen Terrace</t>
  </si>
  <si>
    <t>North Road</t>
  </si>
  <si>
    <t>A92 YY7P</t>
  </si>
  <si>
    <t>086 107 0939</t>
  </si>
  <si>
    <t>E. McDonnell</t>
  </si>
  <si>
    <t>Not in good condition when found. Flea infestation. EffiPro treatment (spray) given on intake date. Most likely died from the Parvovirus.</t>
  </si>
  <si>
    <t>Seaview Kitten1 - Audrey Woods, 2 Seaview Annagassan</t>
  </si>
  <si>
    <t>Seaview Kitten2 - Audrey Woods, 2 Seaview Annagassan</t>
  </si>
  <si>
    <t>Greenore Kittens Lot 2 Kitten3 - Cheeto</t>
  </si>
  <si>
    <t>Mara - Pregnant Clogherhead Tabby &amp; White</t>
  </si>
  <si>
    <t>7-8 Weeks</t>
  </si>
  <si>
    <t xml:space="preserve">5-Weeks </t>
  </si>
  <si>
    <t>Dundalk Kitten1 - Antoine Masdupuy</t>
  </si>
  <si>
    <t>Dundalk Kitten2 - Antoine Masdupuy</t>
  </si>
  <si>
    <t>Dundalk Kitten3 - Antoine Masdupuy</t>
  </si>
  <si>
    <t>Dundalk Kitten4 - Antoine Masdupuy</t>
  </si>
  <si>
    <t>Dundalk Kitten5 - Antoine Masdupuy</t>
  </si>
  <si>
    <t>Sunnyside</t>
  </si>
  <si>
    <t>3 Cromwell's Lane</t>
  </si>
  <si>
    <t>A92 PX0V</t>
  </si>
  <si>
    <t>Sarah</t>
  </si>
  <si>
    <t>McKenna</t>
  </si>
  <si>
    <t>085 113 0792</t>
  </si>
  <si>
    <t>Cheeto</t>
  </si>
  <si>
    <t>Julianstown / Laytown Road TNR Cat</t>
  </si>
  <si>
    <t>Had been neutered and ear-tipped previously. Received medication to be administered by carer Elizabeth Carolan</t>
  </si>
  <si>
    <t>Annagassan Kitten</t>
  </si>
  <si>
    <t>Mya</t>
  </si>
  <si>
    <t>16-Weeks</t>
  </si>
  <si>
    <t>Yellowbatter Kitten4 - Gabrielle D - Reenie</t>
  </si>
  <si>
    <t xml:space="preserve">Popeye - One Eye </t>
  </si>
  <si>
    <t>Black Kitten1</t>
  </si>
  <si>
    <t>Black Kitten 2</t>
  </si>
  <si>
    <t>17-Weeks</t>
  </si>
  <si>
    <t>Liz Murphy Tabby</t>
  </si>
  <si>
    <t>GoodWood Mammy</t>
  </si>
  <si>
    <t>Greenore Kittens Lot 2 Kitten6 - Leo</t>
  </si>
  <si>
    <t>Greenore Kittens Lot 2 Kitten2 - Garfield</t>
  </si>
  <si>
    <t>Greenore Kittens Lot 2 Kitten2 - Leo</t>
  </si>
  <si>
    <t>9-Months</t>
  </si>
  <si>
    <t>DIFE Female2</t>
  </si>
  <si>
    <t>DIFE Female1</t>
  </si>
  <si>
    <t xml:space="preserve">9-Months </t>
  </si>
  <si>
    <t>Billy</t>
  </si>
  <si>
    <t>Ward Cat1 - Liz Murphy - Billy</t>
  </si>
  <si>
    <t xml:space="preserve">6-Months </t>
  </si>
  <si>
    <t>DOB 19/03/2022</t>
  </si>
  <si>
    <t>Ward Cat2 - Liz Murphy - Tigger</t>
  </si>
  <si>
    <t>Ward Cat3 - Liz Murphy - Ginny</t>
  </si>
  <si>
    <t>DOB Oct 2021</t>
  </si>
  <si>
    <t>Tabitha</t>
  </si>
  <si>
    <t>Pearse Park RTA</t>
  </si>
  <si>
    <t>Paul Johnstone Tortie</t>
  </si>
  <si>
    <t>1-2 Years Old</t>
  </si>
  <si>
    <t>INFO SOURCE</t>
  </si>
  <si>
    <t>Intake Sheet</t>
  </si>
  <si>
    <t>DAR Volunteer</t>
  </si>
  <si>
    <t>Maple Drive Injured Cat</t>
  </si>
  <si>
    <t>Found by a member of the public with head injuries. Maple Drive, Drogheda Co Louth</t>
  </si>
  <si>
    <t>Jacqueline</t>
  </si>
  <si>
    <t>Leiberum</t>
  </si>
  <si>
    <t>087 333 1739</t>
  </si>
  <si>
    <t>A92 T99X</t>
  </si>
  <si>
    <t>15 Park Wood</t>
  </si>
  <si>
    <t>J. Leiberum</t>
  </si>
  <si>
    <t>Milbemax Wormer on 16/06/2023</t>
  </si>
  <si>
    <t>Found in Bin Lorry about ready to be crushed but rescued by bin lorry drivers. Milbemax Wormer on 16/06/2023</t>
  </si>
  <si>
    <t>Pearse Park Pregnant Tabby</t>
  </si>
  <si>
    <t>Pregnant Togher Cat - Emergency C-Section</t>
  </si>
  <si>
    <t>Brought in by Paddy Matthews, Martinstown Lane, Togher Co Louth 086 881 2251. Cat was straining. 
Appears to be aborting kittens. Very high temperature. Surrendered to DAR as Paddy could not afford veterinary costs.</t>
  </si>
  <si>
    <t>Pearse Park Male Tabby</t>
  </si>
  <si>
    <t>Part of the Pearse Park TNR Job.</t>
  </si>
  <si>
    <t>Pregnant. Will be neutered. Part of the Pearse Park TNR Job.</t>
  </si>
  <si>
    <t>14-Weeks</t>
  </si>
  <si>
    <t>Kitten</t>
  </si>
  <si>
    <t>Dark Tabby</t>
  </si>
  <si>
    <t>Tabby</t>
  </si>
  <si>
    <t>Mammy G</t>
  </si>
  <si>
    <t>Wheezy</t>
  </si>
  <si>
    <t>Emilia</t>
  </si>
  <si>
    <t>Balbriggan Male</t>
  </si>
  <si>
    <t>Skye</t>
  </si>
  <si>
    <t>Spot</t>
  </si>
  <si>
    <t>Molly</t>
  </si>
  <si>
    <t xml:space="preserve">15-Years </t>
  </si>
  <si>
    <t>8-9 Months</t>
  </si>
  <si>
    <t>Pixi Man</t>
  </si>
  <si>
    <t>Millrow Kitten - Lulu</t>
  </si>
  <si>
    <t>Millrow Kitten - Lady</t>
  </si>
  <si>
    <t xml:space="preserve">5-6 Months </t>
  </si>
  <si>
    <t>Licorice</t>
  </si>
  <si>
    <t xml:space="preserve">Twenties </t>
  </si>
  <si>
    <t>Rosie</t>
  </si>
  <si>
    <t>Dexter</t>
  </si>
  <si>
    <t>8-12 Months</t>
  </si>
  <si>
    <t>Music</t>
  </si>
  <si>
    <t>Jerry</t>
  </si>
  <si>
    <t>Tom</t>
  </si>
  <si>
    <t>Princess Snowball</t>
  </si>
  <si>
    <t>DOB 01/05/2019</t>
  </si>
  <si>
    <t>Gilly</t>
  </si>
  <si>
    <t>9-Years</t>
  </si>
  <si>
    <t>Felix</t>
  </si>
  <si>
    <t xml:space="preserve">5-Months </t>
  </si>
  <si>
    <t>Cedarfield</t>
  </si>
  <si>
    <t>Stormy</t>
  </si>
  <si>
    <t>Weir Hope Cat - Avrin</t>
  </si>
  <si>
    <t>Sunny</t>
  </si>
  <si>
    <t>Taco</t>
  </si>
  <si>
    <t>Baltray Mother</t>
  </si>
  <si>
    <t>Baltray Mother's Son</t>
  </si>
  <si>
    <t>Ballymac</t>
  </si>
  <si>
    <t>Lynda's Black Kitten1</t>
  </si>
  <si>
    <t>Lynda's Black Kitten2</t>
  </si>
  <si>
    <t>Jason</t>
  </si>
  <si>
    <t>10-Month</t>
  </si>
  <si>
    <t>Harold</t>
  </si>
  <si>
    <t>Stoky</t>
  </si>
  <si>
    <t>Harry</t>
  </si>
  <si>
    <t>Edith</t>
  </si>
  <si>
    <t>10-12 Months</t>
  </si>
  <si>
    <t xml:space="preserve">Princess  </t>
  </si>
  <si>
    <t xml:space="preserve">1-2 Years </t>
  </si>
  <si>
    <t>Dromiskin1</t>
  </si>
  <si>
    <t>Dromiskin2</t>
  </si>
  <si>
    <t>5-6 Years</t>
  </si>
  <si>
    <t>1-Year Old</t>
  </si>
  <si>
    <t>1+ Years</t>
  </si>
  <si>
    <t xml:space="preserve">3-Years </t>
  </si>
  <si>
    <t>Shelly</t>
  </si>
  <si>
    <t xml:space="preserve">Cleo </t>
  </si>
  <si>
    <t xml:space="preserve">Ollie </t>
  </si>
  <si>
    <t xml:space="preserve">13-Weeks </t>
  </si>
  <si>
    <t xml:space="preserve">9-Weeks </t>
  </si>
  <si>
    <t xml:space="preserve">1+ Years </t>
  </si>
  <si>
    <t>Mister Mistopheles</t>
  </si>
  <si>
    <t>Diary Danny</t>
  </si>
  <si>
    <t>9-10 Weeks</t>
  </si>
  <si>
    <t>FIV Postive. PTS</t>
  </si>
  <si>
    <t>Dundalk College Manor Pregnant Female - Dunnie</t>
  </si>
  <si>
    <t>Jansen</t>
  </si>
  <si>
    <t>Aimee</t>
  </si>
  <si>
    <t>083 027 4092</t>
  </si>
  <si>
    <t>Brookville</t>
  </si>
  <si>
    <t>A. Jansen</t>
  </si>
  <si>
    <t xml:space="preserve">7-8 Months </t>
  </si>
  <si>
    <t>Castlelane Salterstown Dunleer Heather Harmon TNR Job</t>
  </si>
  <si>
    <t>This kitten had only 3-legs. Died yesterday evening.</t>
  </si>
  <si>
    <t>Mika Surrender from International Students</t>
  </si>
  <si>
    <t>Dundalk Ginger - Lion</t>
  </si>
  <si>
    <t>7- Years</t>
  </si>
  <si>
    <t>24/03/2023- Given Milbemax &amp; Advocate. FELV/FIV testing with faint FELV positive. Tooth extraction via Avenue Vets plus castration.</t>
  </si>
  <si>
    <t>S. McKenna</t>
  </si>
  <si>
    <t>Seaview Mother Cat - Audrey Woods, 2 Seaview Annagassan</t>
  </si>
  <si>
    <t>Tested positive for FELV. PTS</t>
  </si>
  <si>
    <t>Kilsaran Cat - Gillian Gibson</t>
  </si>
  <si>
    <t>Tested positive for FIV/FELV. PTS</t>
  </si>
  <si>
    <t>Antoine Masdupuy Dundalk TNR Job - Cat1</t>
  </si>
  <si>
    <t>This is the kitten that was found coming out of the ditch onto the main road in Annagassan. A bit hissy. Passed Away in Westgate Vet. Suspected Parvovirus. Had been admitted on Monday 26/06/2023 for vomiting.</t>
  </si>
  <si>
    <t>Niall Carney Marian Park TNR Job - Cat1</t>
  </si>
  <si>
    <t>Niall Carney Marian Park TNR Job - Cat2</t>
  </si>
  <si>
    <t>3-Days Old</t>
  </si>
  <si>
    <t>Came via query through Facebook Page 'The Cat's Pyjamas'</t>
  </si>
  <si>
    <t>972 274 001 570 015</t>
  </si>
  <si>
    <t xml:space="preserve">Balbriggan Bremore Pastures Mother Kitten1 </t>
  </si>
  <si>
    <t>Balbriggan Bremore Pastures Mother Kitten5 - Buttons</t>
  </si>
  <si>
    <t>Balbriggan Bremore Pastures Mother Kitten2 - Wispa</t>
  </si>
  <si>
    <t>972 274 001 570 012</t>
  </si>
  <si>
    <t>Balbriggan Bremore Pastures Mother Cat - Bunny</t>
  </si>
  <si>
    <t>972 274 001 570 011</t>
  </si>
  <si>
    <t>Balbriggan Bremore Pastures Mother Kitten3 - Mars</t>
  </si>
  <si>
    <t>972 274 001 570 014</t>
  </si>
  <si>
    <t>Balbriggan Bremore Pastures Mother Kitten4 - Aero</t>
  </si>
  <si>
    <t>972 274 001 570 013</t>
  </si>
  <si>
    <t>Listoke Mother</t>
  </si>
  <si>
    <t>Beamore Road Mother Kitten1</t>
  </si>
  <si>
    <t>Beamore Road Mother Kitten2</t>
  </si>
  <si>
    <t>Beamore Road Mother Kitten3</t>
  </si>
  <si>
    <t>Carrickmacross Kitten</t>
  </si>
  <si>
    <t>Strandfield Abandoned Kitten  3-Days Old</t>
  </si>
  <si>
    <t>GINGER/WHITE</t>
  </si>
  <si>
    <t>Cat Flu</t>
  </si>
  <si>
    <t>Clogherhead Very Sick Kitten - Ross</t>
  </si>
  <si>
    <t>Was not doing well and admitted to Westgate Hospital. Died overnight in hospital.</t>
  </si>
  <si>
    <t>Haggardstown, Dundalk Kitten2 - Kai</t>
  </si>
  <si>
    <t xml:space="preserve">Haggardstown, Dundalk Kitten3 </t>
  </si>
  <si>
    <t>Had a very tight frayed pink collar around neck. Had been hanging around Dysart Togher at Paddy McGuire's for 6-weeks.</t>
  </si>
  <si>
    <t>Antoine Masdupuy Dundalk TNR Job - Cat2</t>
  </si>
  <si>
    <t>5-7 Weeks</t>
  </si>
  <si>
    <t>Kilsaran Kitten - Gillian Gibson</t>
  </si>
  <si>
    <t>Guest Rehoming</t>
  </si>
  <si>
    <t>Foster Kitten - Ali</t>
  </si>
  <si>
    <t>Foster Kitten - Amy</t>
  </si>
  <si>
    <t>Foster Kitten -Ali</t>
  </si>
  <si>
    <t xml:space="preserve">Nayla </t>
  </si>
  <si>
    <t>Slane Kitten1</t>
  </si>
  <si>
    <t>Slane Kitten2</t>
  </si>
  <si>
    <t>&lt;2-Years</t>
  </si>
  <si>
    <t xml:space="preserve">Ellie </t>
  </si>
  <si>
    <t>Jessy</t>
  </si>
  <si>
    <t>Maisy</t>
  </si>
  <si>
    <t>Star</t>
  </si>
  <si>
    <t>Poppy</t>
  </si>
  <si>
    <t>Jerome</t>
  </si>
  <si>
    <t>Eddie</t>
  </si>
  <si>
    <t>Shelby</t>
  </si>
  <si>
    <t>2-Year Olds</t>
  </si>
  <si>
    <t>Quinn</t>
  </si>
  <si>
    <t>3-4 Years Old</t>
  </si>
  <si>
    <t xml:space="preserve">L&amp;M Mammy </t>
  </si>
  <si>
    <t>Miley</t>
  </si>
  <si>
    <t>Wobbles</t>
  </si>
  <si>
    <t>Mary</t>
  </si>
  <si>
    <t>Wayne</t>
  </si>
  <si>
    <t>Preston</t>
  </si>
  <si>
    <t>Dotty</t>
  </si>
  <si>
    <t>Bubbles</t>
  </si>
  <si>
    <t>Kathleen</t>
  </si>
  <si>
    <t>6-8 Months</t>
  </si>
  <si>
    <t>Sock</t>
  </si>
  <si>
    <t>11-12 Weeks</t>
  </si>
  <si>
    <t>Louise</t>
  </si>
  <si>
    <t>Mitchelle's Kitten1</t>
  </si>
  <si>
    <t>Blackie</t>
  </si>
  <si>
    <t>Paddy</t>
  </si>
  <si>
    <t>Bucky</t>
  </si>
  <si>
    <t>Eimear1</t>
  </si>
  <si>
    <t>Eimear2</t>
  </si>
  <si>
    <t>Howthstown Kitten</t>
  </si>
  <si>
    <t>Marian Park 1</t>
  </si>
  <si>
    <t>Marian Park 2</t>
  </si>
  <si>
    <t>Camper</t>
  </si>
  <si>
    <t>Liz X 1</t>
  </si>
  <si>
    <t>Samson</t>
  </si>
  <si>
    <t>Alice</t>
  </si>
  <si>
    <t>Cali</t>
  </si>
  <si>
    <t>Lynda Girl</t>
  </si>
  <si>
    <t>Monkey</t>
  </si>
  <si>
    <t>Max</t>
  </si>
  <si>
    <t xml:space="preserve">Missy </t>
  </si>
  <si>
    <t>William</t>
  </si>
  <si>
    <t>CeCe</t>
  </si>
  <si>
    <t>Tess</t>
  </si>
  <si>
    <t>Pearse Park Tabby</t>
  </si>
  <si>
    <t>Brenda Jingle Fluff - Donore Road Kitten</t>
  </si>
  <si>
    <t>Kilsaran Cat2 - Gillian Gibson - Heavily Pregnant</t>
  </si>
  <si>
    <t>Kafja (Kafi)</t>
  </si>
  <si>
    <t>Beechwood Drive Kitten1 - Betty</t>
  </si>
  <si>
    <t>Beechwood Drive Kitten2 - Boop</t>
  </si>
  <si>
    <t>972 274 001 570 036</t>
  </si>
  <si>
    <t>972 274 001 570 037</t>
  </si>
  <si>
    <t>Highfield Mammy</t>
  </si>
  <si>
    <t>Kilsaran Cat3 - Gillian Gibson</t>
  </si>
  <si>
    <t>PTS in AP due to Panleucopenia.</t>
  </si>
  <si>
    <t>Arrived with Cat Flu. Had been hospitalised in WG however was not doing well with Body Temperature dropping. PTS</t>
  </si>
  <si>
    <t>Aileen Callan will take back the mother cat after neutering. Cat was negative for FIV/FELV. Neutered and ear-tipped.</t>
  </si>
  <si>
    <t>Stray taken in from Clogherhead Estate - Pregnant. 12/05/2023 Milbemax</t>
  </si>
  <si>
    <t>Mara's Kitten2 - Fat Kitten</t>
  </si>
  <si>
    <t>Mara's Kitten3 - Cow Kitten</t>
  </si>
  <si>
    <t>Mara's Kitten1 - Twin Kitten</t>
  </si>
  <si>
    <t>Lordship Kitten1 - Kate Keenan</t>
  </si>
  <si>
    <t>Lordship Kitten2 - Kate Keenan</t>
  </si>
  <si>
    <t>972 274 001 570 017</t>
  </si>
  <si>
    <t>Given NexGard Combo on 05/07/2023 at Neutering and ear-tipped.</t>
  </si>
  <si>
    <t>MC at Neutering</t>
  </si>
  <si>
    <t>Cedarfield Garden Kitten1</t>
  </si>
  <si>
    <t>Cedarfield Garden Kitten2</t>
  </si>
  <si>
    <t>Cedarfield Garden Kitten3</t>
  </si>
  <si>
    <t>Cedarfield Garden Kitten4</t>
  </si>
  <si>
    <t>&lt; 8-Weeks</t>
  </si>
  <si>
    <t>Slim Roberts Adult Male</t>
  </si>
  <si>
    <t>1.5 Years of Age</t>
  </si>
  <si>
    <t>DOB 13/04/2023</t>
  </si>
  <si>
    <t>Slim Roberts Kitten1 - Spot</t>
  </si>
  <si>
    <t>Braganstown, Castlebellingham Skin Condition TNR</t>
  </si>
  <si>
    <t>Ear-Tipped. Given NexGard Combo</t>
  </si>
  <si>
    <t>PTS due to positive FIV/FELV.</t>
  </si>
  <si>
    <t>Kilsaran Cat2 - Gillian Gibson - Kitten1</t>
  </si>
  <si>
    <t>Kilsaran Cat2 - Gillian Gibson - Kitten2</t>
  </si>
  <si>
    <t>DOB 07/07/2023</t>
  </si>
  <si>
    <t>972 274 001 569 626</t>
  </si>
  <si>
    <t>972 274 001 569 627</t>
  </si>
  <si>
    <t>FIV/FELV Negative. Ears Cleaned and NexGard applied at V1 10/07/2023</t>
  </si>
  <si>
    <t>Admitted to Westgate Hospital, but to ill for treatment. PTS. Suspected Parvovirus.</t>
  </si>
  <si>
    <t>Glenview Kittens No. 1 - Lucy</t>
  </si>
  <si>
    <t>Admitted to Allpets Veterinary Hospital on 06/07/2023 due to being very weak. PTS on 10/07/2023 due to kidney failure.</t>
  </si>
  <si>
    <t>Avenue Vets</t>
  </si>
  <si>
    <t>042 933 9648</t>
  </si>
  <si>
    <t>Clogherhead Gort Una Tabby &amp; White Mother Cat Kitten1 - Angel</t>
  </si>
  <si>
    <t>Clogherhead Gort Una Tabby &amp; White Mother Cat Kitten2 - Pepper</t>
  </si>
  <si>
    <t>Passed away in AP most likely due to Panleucopenia.</t>
  </si>
  <si>
    <t>Has Ringworm on the neck. Given 1/2 tablet of Milbemax. Surolan for the Ringworm 07/07/2023</t>
  </si>
  <si>
    <t>Has substantial hair loss on the back. FIV/FELV negative. NexGard applied on 12/07/2023. Has ringworm and is on Itrafungol treatment for 5-weeks.</t>
  </si>
  <si>
    <t>Leanne Connell - Annagassan Kitten1</t>
  </si>
  <si>
    <t>Leanne Connell - Annagassan Kitten2</t>
  </si>
  <si>
    <t>Leanne Connell - Annagassan Kitten3</t>
  </si>
  <si>
    <t>Leanne Connell - Annagassan Kitten4</t>
  </si>
  <si>
    <t>Leanne Connell - Annagassan Kitten5</t>
  </si>
  <si>
    <t>St Finian's Park Injured Cat - Tuxedo</t>
  </si>
  <si>
    <t>Keenan's Cross TNR2</t>
  </si>
  <si>
    <t>FIV/FELV Negative. Spayed &amp; Ear-Tipped 13/07/2023. NexGard applied. Convenia injection. Has chest whizziness. Will go home with 5-day antibiotic course.</t>
  </si>
  <si>
    <t>Halpin Terrace Sick Cat</t>
  </si>
  <si>
    <t>FIV/FELV Negative. PTS due to difficulty breathing; blood in the lungs. Suspect poisoning. A post mortem will be done on him.</t>
  </si>
  <si>
    <t>Lourdes Square Cat with raw skin issues</t>
  </si>
  <si>
    <t>Neutered previously and may likely have been a TNR job.</t>
  </si>
  <si>
    <t>An Tobar Housing Complex Newfoundwell Road - Kitten1</t>
  </si>
  <si>
    <t>An Tobar Housing Complex Newfoundwell Road - Kitten2</t>
  </si>
  <si>
    <t>DOB 21/05/2023</t>
  </si>
  <si>
    <t>Riverbank Mother</t>
  </si>
  <si>
    <t>Riverbank Mother Kitten1</t>
  </si>
  <si>
    <t>Riverbank Mother Kitten2</t>
  </si>
  <si>
    <t>Riverbank Mother Kitten3</t>
  </si>
  <si>
    <t xml:space="preserve">Slim Roberts Kitten2 - Tiger </t>
  </si>
  <si>
    <t>Rose - Jeanine Pentony Shrewsbury Manor - Kitten2</t>
  </si>
  <si>
    <t>Rose - Jeanine Pentony Shrewsbury Manor - Kitten3</t>
  </si>
  <si>
    <t>DOB 16/05/2023</t>
  </si>
  <si>
    <t>Charity Case. Spay and Enucleation.</t>
  </si>
  <si>
    <t>Drybridge Old Slane Road Chicken Coop - Kitten2</t>
  </si>
  <si>
    <t>Drybridge Old Slane Road Chicken Coop - Kitten3</t>
  </si>
  <si>
    <t>Niall Carney Marian Park TNR Job - Cat3</t>
  </si>
  <si>
    <t>Note: This cat is still minding her kittens so was released after neutering.</t>
  </si>
  <si>
    <t>Grangebellew Hedge Cats - Audrey</t>
  </si>
  <si>
    <t>NEWFOUNDWELL RTA CAT w/red name tag - Thor</t>
  </si>
  <si>
    <t>DOB 15/05/2022</t>
  </si>
  <si>
    <t>Nobber Kitten</t>
  </si>
  <si>
    <t>Grange Rath Wooden Box Kitten1 - John Dan</t>
  </si>
  <si>
    <t>Kellystown, Grangebellew Car Engine Cat - Ford Focus</t>
  </si>
  <si>
    <t>NexGard 24/07/2023</t>
  </si>
  <si>
    <t>Dunany Beach Abandoned Wooden Box Kitten1</t>
  </si>
  <si>
    <t>Dunany Beach Abandoned Wooden Box Kitten2</t>
  </si>
  <si>
    <t>Dunany Beach Abandoned Wooden Box Kitten3</t>
  </si>
  <si>
    <t>Dunany Beach Abandoned Wooden Box Kitten4</t>
  </si>
  <si>
    <t>Dunany Beach Abandoned Wooden Box Kitten5</t>
  </si>
  <si>
    <t>Given Milbemax on Thursday July 06th (Avenue Vets), and Tuesday July 11th (Westgate), July 14th (Westgate), July 21st, (Sronghold WG)</t>
  </si>
  <si>
    <t>11/07/2023 (Milbemax WG)</t>
  </si>
  <si>
    <t>Castlebellingham Kitten5 - Salty</t>
  </si>
  <si>
    <t>Castlebellingham Kitten1 - Smithy</t>
  </si>
  <si>
    <t>Keenan's Cross Unwell Cat - TNR1</t>
  </si>
  <si>
    <t>Drogheda North Road Creveen Tce Cunningham Stray Kitten - Sick</t>
  </si>
  <si>
    <t>Trapped at a farmyard at Keenan's Cross. Taken straight to Avenue Vets due to it looking quite unwell. Has Cat Flu. Did not respond to antibiotics and lost a lot of body condition. AV and DAR thought the best thing was to PTS as the cat would be chronically ill and susceptible to infection and illness.</t>
  </si>
  <si>
    <t>Neutered, Ear Tipped and given NexGard Combo</t>
  </si>
  <si>
    <t>Milbemax 29/06/2023. Milbemax 25/07/2023</t>
  </si>
  <si>
    <t>Cookstown Ardee Kitten - O'Dowd's Vet 'Cookie'</t>
  </si>
  <si>
    <t>MC at V1.</t>
  </si>
  <si>
    <t>Sustained fractured jaw. Wobbly on back leg. On cage rest. NexGard 19/07/2023. MC at V2.</t>
  </si>
  <si>
    <t>Collon Kitten Found in Ditch RE: Caroline</t>
  </si>
  <si>
    <t>2-Months</t>
  </si>
  <si>
    <t>Found by a member of the public crawling out onto the lane; M1 Motorway Exit 10/11 Jessica Cluskey via Facebook Messenger. MC at V1</t>
  </si>
  <si>
    <t>Everitt</t>
  </si>
  <si>
    <t>Kayleigh</t>
  </si>
  <si>
    <t>407 St. Finan's Park</t>
  </si>
  <si>
    <t>083 071 3321</t>
  </si>
  <si>
    <t>K. Everitt</t>
  </si>
  <si>
    <t>Very sick cat with respiratory distress. FIV/FELV negative but lumps on the kidneys so suspect cancer. No MC. REF: Miruna Maria, 64 Pearse Park, Yellowbatter Road, 085 156 4474</t>
  </si>
  <si>
    <t>M1 Motorway Kitten - Rheaghstown -'Squeaky'</t>
  </si>
  <si>
    <t>Partial tail removal and two teeth removed. Very thin and underweight when he first came into Westgate. Came in cat centre on 16/11/2022. Kidney Failure (27/07/2023)</t>
  </si>
  <si>
    <t>Drogheda Syrian Family Mother Cat</t>
  </si>
  <si>
    <t>Drogheda Syrian Family Kitten1</t>
  </si>
  <si>
    <t>Drogheda Syrian Family Kitten2</t>
  </si>
  <si>
    <t>Drogheda Syrian Family Kitten3</t>
  </si>
  <si>
    <t>Beamore Road Mother - 'Whitey'</t>
  </si>
  <si>
    <t>Slane Garden Front Leg Amputee Kitten - Roux</t>
  </si>
  <si>
    <t>John Kirk Park Adult Cat / Matted Fur</t>
  </si>
  <si>
    <t>Given NexGard Combo on 31/07/2023. Had been previously neutered. Concerned member of the public due to badly matted coat.</t>
  </si>
  <si>
    <t>Found under someone's car in Phibsboro, Dublin. Milbemax 31/07/2023</t>
  </si>
  <si>
    <t>Thornberry</t>
  </si>
  <si>
    <t>13 The View</t>
  </si>
  <si>
    <t>Riverbank</t>
  </si>
  <si>
    <t>A92 Y0YV</t>
  </si>
  <si>
    <t>085 788 9384</t>
  </si>
  <si>
    <t>S. Thornberry</t>
  </si>
  <si>
    <t>Dowth Junior Kitten</t>
  </si>
  <si>
    <t>NexGard Kitten 27/07/2023. MC at V1</t>
  </si>
  <si>
    <t xml:space="preserve">FIV/FELV Negative. Ear Tipped. </t>
  </si>
  <si>
    <t>Advocate &amp; Milbemax 13/06/2023. Milbemax at V2.</t>
  </si>
  <si>
    <t>Pregnant. FIV / FELV Positive</t>
  </si>
  <si>
    <t>Antoine Masdupuy Dundalk TNR Job - Cat3</t>
  </si>
  <si>
    <t>FIV/FELV Negative. Pregnant when neutered. Ear-Tipped</t>
  </si>
  <si>
    <t>Slim Roberts Mother - Hailey Bailey</t>
  </si>
  <si>
    <t>Cat Flu. Given Oramox (Penicillian based liquid antibiotic). Milbemax Wormers dispensed 31/07/2023</t>
  </si>
  <si>
    <t>Antoine Masdupuy Dundalk TNR Job - Cat4</t>
  </si>
  <si>
    <t>Rath View Termonfeckin Mother</t>
  </si>
  <si>
    <t>Rath View Termonfeckin Mother - Kitten1</t>
  </si>
  <si>
    <t>Rath View Termonfeckin Mother - Kitten2</t>
  </si>
  <si>
    <t>Phibsboro Kitten - Christy</t>
  </si>
  <si>
    <t>972 274 001 551 250</t>
  </si>
  <si>
    <t>Found in someone's yard in Carlingford Co Louth and brought into Avenue Vets by finder. Milbemax and Advocate given at V1</t>
  </si>
  <si>
    <t>972 274 001 551 242</t>
  </si>
  <si>
    <t>Milbemax 29/06/2023. Milbemax and Advocate at V1 31/07/2023.</t>
  </si>
  <si>
    <t>Leanne Casey Castle Lane, Annagassan - TNR</t>
  </si>
  <si>
    <t>FIV/FELV Negative.</t>
  </si>
  <si>
    <t>Patricia McDowell Dunany  Farm Tom Cat - TNR</t>
  </si>
  <si>
    <t>Hungry Hall Collon - Mother</t>
  </si>
  <si>
    <t>Hungry Hall Collon - Kitten</t>
  </si>
  <si>
    <t>Grange Rath Wooden Box3  - Diane</t>
  </si>
  <si>
    <t xml:space="preserve">Valerie Murphy Togher  Louth - TNR </t>
  </si>
  <si>
    <t>Maura Higgns Dunleer Cat2</t>
  </si>
  <si>
    <t>Greenmount Kilsaran Stray Kitten1</t>
  </si>
  <si>
    <t>Greenmount Kilsaran Stray Kitten2</t>
  </si>
  <si>
    <t>Greenmount Kilsaran Stray Kitten3</t>
  </si>
  <si>
    <t>Longford Pregnant Mother Cat</t>
  </si>
  <si>
    <t>Longford Pregnant Mother Cat - Kitten1</t>
  </si>
  <si>
    <t>Longford Pregnant Mother Cat - Kitten2</t>
  </si>
  <si>
    <t>Longford Pregnant Mother Cat - Kitten3</t>
  </si>
  <si>
    <t>Marian Park Kitten1</t>
  </si>
  <si>
    <t>Marian Park Kitten4</t>
  </si>
  <si>
    <t>Marian Park Kitten5</t>
  </si>
  <si>
    <t>Mulholland</t>
  </si>
  <si>
    <t>Allie</t>
  </si>
  <si>
    <t>087 253 4345</t>
  </si>
  <si>
    <t>A. Mulholland</t>
  </si>
  <si>
    <t>Togher Kitten1 - Pat Carron Togher Cross, Dunleer - Tia</t>
  </si>
  <si>
    <t>Togher Kitten2 - Pat Carron Togher Cross, Dunleer - Mia</t>
  </si>
  <si>
    <t>Given Milbemax at V1 and NexGard Kitten on 09/08/2023.</t>
  </si>
  <si>
    <t>Expecting mother cat at intake. Given Rheumocam and Floxabactin on Tuesday 08/08/2023 due to Chest Infection and High Temperature.</t>
  </si>
  <si>
    <t>Maura Higgins Dunleer Cat2 - Kitten1</t>
  </si>
  <si>
    <t>Maura Higgins Dunleer Cat2 - Kitten2</t>
  </si>
  <si>
    <t>Mother ate the head off this kitten.</t>
  </si>
  <si>
    <t>Kitten was pushed out of the crate onto the floor.</t>
  </si>
  <si>
    <t>972 274 015 570 040</t>
  </si>
  <si>
    <t>972 274 001 570 019</t>
  </si>
  <si>
    <t>Potts</t>
  </si>
  <si>
    <t>Helen Maria</t>
  </si>
  <si>
    <t>Annagassan</t>
  </si>
  <si>
    <t>A92 ET66</t>
  </si>
  <si>
    <t>086 825 4533</t>
  </si>
  <si>
    <t>H. Potts</t>
  </si>
  <si>
    <t>Boycetown Togher Co Louth TNR</t>
  </si>
  <si>
    <t>FIV +ve. PTS</t>
  </si>
  <si>
    <t>Mother was too ill to nurse these kittens. They will be going back to Last Hope Charity. Passed away in AP due to Parvovirus. Had Ringworm as well.</t>
  </si>
  <si>
    <t>Mother was too ill to nurse these kittens. They will be going back to Last Hope Charity. Admitted to Hospital due to Parvovirus. Has ringworm as well.</t>
  </si>
  <si>
    <t>Grangebellew Hedge Cat TNR</t>
  </si>
  <si>
    <t>FELV Positive PTS</t>
  </si>
  <si>
    <t>Milbemax at V1 + V2. Advocate at V2</t>
  </si>
  <si>
    <t>MC at V2 07/07/2023. NexGard 15/06/2023</t>
  </si>
  <si>
    <t>972 274 001 570 033</t>
  </si>
  <si>
    <t>Hodgins</t>
  </si>
  <si>
    <t>Gillian Lynn</t>
  </si>
  <si>
    <t>A92 E8W9</t>
  </si>
  <si>
    <t>086 234 6363</t>
  </si>
  <si>
    <t>MC at V1. 10/07/2023 NexGard. Estimated DOB 11/04/2023</t>
  </si>
  <si>
    <t>G. Hodgins</t>
  </si>
  <si>
    <t>Found in Dowth countryside across from someone's house. No owner found in the immediate area. Milbemax &amp; Advocate &amp; MC at V1. Unfortunately contracted Parvovirus and passed away in AP on 24/08/2023</t>
  </si>
  <si>
    <t>Bryanstown Woods TNR Job1</t>
  </si>
  <si>
    <t>FIV/FELV Negative. NexGard given on 24/08/2023. Not EarTipped</t>
  </si>
  <si>
    <t>R. Borghi</t>
  </si>
  <si>
    <t>ESB TNR</t>
  </si>
  <si>
    <t>NexGard 23/08/2023</t>
  </si>
  <si>
    <t>ESB Dundalk Kitten3</t>
  </si>
  <si>
    <t>ESB Dundalk Kitten4</t>
  </si>
  <si>
    <t>ESB Dundalk Kitten5</t>
  </si>
  <si>
    <t>ESB Dundalk Kitten6</t>
  </si>
  <si>
    <t>Infected eyes. Oramox and Maxitrol 22/08/2023</t>
  </si>
  <si>
    <t>Longford Pregnant Mother Cat - Kitten4</t>
  </si>
  <si>
    <t>Longford Pregnant Mother Cat - Kitten5</t>
  </si>
  <si>
    <t>Longford Pregnant Mother Cat - Kitten6</t>
  </si>
  <si>
    <t>Longford Pregnant Mother Cat - Kitten7</t>
  </si>
  <si>
    <t>DOB 21/08/2023</t>
  </si>
  <si>
    <t>Longford Mother Cat Kitten1</t>
  </si>
  <si>
    <t>Longford Mother Cat Kitten2</t>
  </si>
  <si>
    <t>Longford Mother Cat Kitten3</t>
  </si>
  <si>
    <t>Mother killed this kitten</t>
  </si>
  <si>
    <t>Infested with fleas on intake. Given treatment by Westgate (NexGard) on 29/06/2023</t>
  </si>
  <si>
    <t>Had been previously neutered. Notched ear.</t>
  </si>
  <si>
    <t>Cat Flu. Given Oramox (Penicillian based liquid antibiotic). Milbemax Wormers dispensed 31/07/2023. Admitted to Avenue Vets on 25/08/2023. PTS on Saturday 26/08/2023</t>
  </si>
  <si>
    <t>NexGard 23/08/2023. Admitted to WG on 26/08/2023 due to lack of appetite, dullness in appearance. This kitten had a very long tape worm. Low temperature of 37 C, and weight loss plus dehyrdation.</t>
  </si>
  <si>
    <t>Fountain Hill, Mell Abandoned Kitten1</t>
  </si>
  <si>
    <t>Fountain Hill, Mell Abandoned Kitten2</t>
  </si>
  <si>
    <t>10-days old</t>
  </si>
  <si>
    <t>Tested positive for FIV and PTS.</t>
  </si>
  <si>
    <t>&lt; 12 Weeks</t>
  </si>
  <si>
    <t>Was admitted by original finder to Allpets on 14/07. Given Stronghold on 14/07. History to be transferred over to DAR.</t>
  </si>
  <si>
    <t>MOTTLED BROWN/BLACK</t>
  </si>
  <si>
    <t>Stray Clogherhead/Togher Kitten from Alice Hughes - Bonnie</t>
  </si>
  <si>
    <t>BRITISH SHORT HAIR</t>
  </si>
  <si>
    <t>Izzy</t>
  </si>
  <si>
    <t>972 274 001 578 899</t>
  </si>
  <si>
    <t>972 274 001 578 900</t>
  </si>
  <si>
    <t>No previous worming. Milbemax worming amd Advocate at V1. Milbemax and MC at V2.</t>
  </si>
  <si>
    <t>No previous worming. Milbemax worming and Advocate at V1. Milbemax and MC at V2.</t>
  </si>
  <si>
    <t>Woman on the North Road had been feeding this kitten and it is not well, so brought into WG on 25/07/2023. It is showing flu-like symptoms and will stay in on a drip. Woman could not afford to pay veterinary costs so DAR agreed to take this kitten onboard. FIV/FELV Negative. Passed away in foster home without any previous signs of distress.</t>
  </si>
  <si>
    <t>FIV/FELV Negative. NexGard at neutering.</t>
  </si>
  <si>
    <t>O'Dowd Veterinary</t>
  </si>
  <si>
    <t>041 685 3722</t>
  </si>
  <si>
    <t>FIV/FELV Negative. Milbemax &amp; Advocate at V1 &amp; V2. Ear Mites.</t>
  </si>
  <si>
    <t>NexGard 29/07/2023 &amp; 28/08/2023</t>
  </si>
  <si>
    <t>972 274 001 549 088</t>
  </si>
  <si>
    <t>NexGard  29/07/2023 &amp; 28/08/2023. This kitten is a CH (Cerebellum Hyperplasia) kitten.</t>
  </si>
  <si>
    <t>972 274 001 549 087</t>
  </si>
  <si>
    <t>Hospitalised on Intake. Low Temperature, Gut empty, blood in stool, pus in eyes. MC at V1. NexGard on 26/07/2023. NexGard on 28/08/2023</t>
  </si>
  <si>
    <t>972 274 001 569 629</t>
  </si>
  <si>
    <t>FIV/FELV negative. Milbemax at V1. Tragically hit by a car.</t>
  </si>
  <si>
    <t>Donore Road Tabby Kitten</t>
  </si>
  <si>
    <t>Carrickmacross Kitten3 - Ciara</t>
  </si>
  <si>
    <t>8+ Weeks</t>
  </si>
  <si>
    <t>Creeven Tce North Road - Breda Cunningham Kitten1</t>
  </si>
  <si>
    <t>Creeven Tce North Road - Breda Cunningham Kitten2</t>
  </si>
  <si>
    <t>Creeven Tce North Road - Breda Cunningham Kitten3</t>
  </si>
  <si>
    <t>Creeven Tce North Road - Breda Cunningham Kitten4</t>
  </si>
  <si>
    <t>1.28kg on intake. No ringworm. Milbemax given on 02/09/2023</t>
  </si>
  <si>
    <t>500g on intake. No ringworm. Both eyes conjunctivitis, nasal discharge, mouth ulcer. 0.03ml Meloxcam, 0.05 ml Convenia. Milbemax. Exocin drops dispensed for both eyes. Subcutaneous fluids. 02/09/2023. Suggested putting on Metacam on Sept 04th if required.</t>
  </si>
  <si>
    <t>George's Street Hair Loss Cat TNR</t>
  </si>
  <si>
    <t>FIV positive and in very poor condition. PTS.</t>
  </si>
  <si>
    <t>Dominics Park Playground Kitten</t>
  </si>
  <si>
    <t>Rathmullen Road St Oliver's School Kitten1</t>
  </si>
  <si>
    <t>Rathmullen Road St Oliver's School Kitten2</t>
  </si>
  <si>
    <t>Given Stronghold at intake.</t>
  </si>
  <si>
    <t>FIV positive and in very poor condition. Open wound not healing, carcinoma on ears and spreading. PTS.</t>
  </si>
  <si>
    <t>Anita Termonfeckin TNR2</t>
  </si>
  <si>
    <t>Anita Termonfeckin TNR1</t>
  </si>
  <si>
    <t>FIV/FELV Negative. Ear-Tipped. NexGard applied.</t>
  </si>
  <si>
    <t>Ballymagarvey Village Car Engine Kitten</t>
  </si>
  <si>
    <t>Beaulieu Cross Termonfeckin Road Kitten</t>
  </si>
  <si>
    <t>Found by a member of the public on Saturday Sept 09th. Given Advocate on 09/09/2023. Harvest mites in ears.</t>
  </si>
  <si>
    <t>ESB Mammy Cat</t>
  </si>
  <si>
    <t>ESB Mammy Cat Kitten1</t>
  </si>
  <si>
    <t>ESB Mammy Cat Kitten3</t>
  </si>
  <si>
    <t>ESB Mammy Cat Kitten2</t>
  </si>
  <si>
    <t>4-6 Weeks</t>
  </si>
  <si>
    <t>09/09/2023 Milbemax and hospitalised in WG.</t>
  </si>
  <si>
    <t>Carrickmacross Kitten1 - Ciara</t>
  </si>
  <si>
    <t>Creeven Tce North Road - Breda Cuningham Young Adult Cat</t>
  </si>
  <si>
    <t>Wormed Drontal 22/06/2023. MC at V2. NexGard 30/07/2023</t>
  </si>
  <si>
    <t>Wormed Drontal 22/06/2023. MC at V2. NexGard 30/07/2023. Advocate 14/09/2023</t>
  </si>
  <si>
    <t>Coach House</t>
  </si>
  <si>
    <t>Bachelor's Lane</t>
  </si>
  <si>
    <t>A92 AW93</t>
  </si>
  <si>
    <t>972 274 001 569 630</t>
  </si>
  <si>
    <t>972 274 001 569 622</t>
  </si>
  <si>
    <t>Found by a window cleaner on Glemore Drive. Given to Tom Moore then DAR. NexGard 20/06/2023. Microchipped at V2. Diagnosed with Ringworm on 04/08/2023. 5-week course of Intrafungol. NexGard 16/09/2023</t>
  </si>
  <si>
    <t>MOP Kitten via Allpets - St Finian's  Park - 'Beau'</t>
  </si>
  <si>
    <t>Annagassan Lynn's Lane Kitten1</t>
  </si>
  <si>
    <t>Annagassan Lynn's Lane Kitten2</t>
  </si>
  <si>
    <t>Milbemax and Advocate 13/09/2023</t>
  </si>
  <si>
    <t>N. Silva</t>
  </si>
  <si>
    <t>Nairana Da</t>
  </si>
  <si>
    <t>Lynn's Lane</t>
  </si>
  <si>
    <t>087 164 0267</t>
  </si>
  <si>
    <t>Rowan Park Mother - Kitten1</t>
  </si>
  <si>
    <t>Rowan Park Mother - Kitten2</t>
  </si>
  <si>
    <t>Rowan Park Mother - Kitten3</t>
  </si>
  <si>
    <t>18-Months</t>
  </si>
  <si>
    <t>DOB 16/09/2023</t>
  </si>
  <si>
    <t>Collon Street Kitten - Black Kitten</t>
  </si>
  <si>
    <t>N1 Tortie Cat - Dundalk</t>
  </si>
  <si>
    <t>Strandhill Clogherhead Ginger Kitten - 'Donald'</t>
  </si>
  <si>
    <t>Kellystown TNR Cat1</t>
  </si>
  <si>
    <t xml:space="preserve">FIV/FELV Negative. Ear-Tipped and NexGard </t>
  </si>
  <si>
    <t>Kellystown TNR Cat2 - 'Percy'</t>
  </si>
  <si>
    <t>Ardee O'Dowd's Kitten - 'Luna'</t>
  </si>
  <si>
    <t>972 274 001 578 916</t>
  </si>
  <si>
    <t>DOB 28/04/2023</t>
  </si>
  <si>
    <t>Bin Lorry Kitten - Carrickmacross - 'TK'</t>
  </si>
  <si>
    <t>972 274 001 569 612</t>
  </si>
  <si>
    <t>972 274 001 569 620</t>
  </si>
  <si>
    <t>972 274 001 569 611</t>
  </si>
  <si>
    <t>972 274 001 569 614</t>
  </si>
  <si>
    <t>972 274 001 569 613</t>
  </si>
  <si>
    <t>Togher Kitten1 - Carron Togher Cross Dunleer - Tia</t>
  </si>
  <si>
    <t>DOB 01/05/2023</t>
  </si>
  <si>
    <t>Togher Kitten2 - Carron Togher Cross Dunleer - Mia</t>
  </si>
  <si>
    <t>DOB 01/08/2023</t>
  </si>
  <si>
    <t>Noroclav, Metacam, Chloromycetin - Cat Flu. Microchipped at Allpets Only. NexGard 01/07/2023</t>
  </si>
  <si>
    <t>972 274 001 570 028</t>
  </si>
  <si>
    <t>Seaview Kitten1 - Audrey Woods, 2 Seaview Annagassan - Jack</t>
  </si>
  <si>
    <t>972 274 001 569 617</t>
  </si>
  <si>
    <t>Seaview Kitten2 - Audrey Woods, 2 Seaview Annagassan - Karen</t>
  </si>
  <si>
    <t>972 274 001 569 616</t>
  </si>
  <si>
    <t>Listoke Mother Kitten1 - 'Bear'</t>
  </si>
  <si>
    <t>972 274 001 578 919</t>
  </si>
  <si>
    <t>Milbemax 25/07/2023. NexGard 07/09/2023</t>
  </si>
  <si>
    <t xml:space="preserve">Castleblayney Bottle Feeder Kitten2 - Day </t>
  </si>
  <si>
    <t>16 Weeks</t>
  </si>
  <si>
    <t>Castleblayney Bottle Feeders Kitten3 - 'Day'</t>
  </si>
  <si>
    <t>Clogherhead Kitten - 'Ross'</t>
  </si>
  <si>
    <t>15 Weeks</t>
  </si>
  <si>
    <t>Infested with fleas on intake. Given treatment by Westgate (EffiPro Spray). 29/06/2023 NexGard</t>
  </si>
  <si>
    <t>Castleblayney Bottle Feeder Kitten2 - Night</t>
  </si>
  <si>
    <t>Castleblayney Bottle Feeders Kitten4 - 'Night'</t>
  </si>
  <si>
    <t>DOB 01/08/2022</t>
  </si>
  <si>
    <t>972 274 001 578 922</t>
  </si>
  <si>
    <t>Carlingford Mother Cat - Tuxedo  Kitten1 - Twilight</t>
  </si>
  <si>
    <t>972 274 001 578 897</t>
  </si>
  <si>
    <t>An Tobar Newfoundwell Road Kitten2</t>
  </si>
  <si>
    <t>An Tobar Newfoundwell Road Kitten1</t>
  </si>
  <si>
    <t>Carlingford Mother Cat - Tuxedo  Kitten3 - Dusk</t>
  </si>
  <si>
    <t>972 274 001 578 898</t>
  </si>
  <si>
    <t>Carlingford Mother Cat - Tuxedo Kitten4 - Sunrise</t>
  </si>
  <si>
    <t>972 274 001 578 895</t>
  </si>
  <si>
    <t>4.5 to 5.0 Months</t>
  </si>
  <si>
    <t>972 274 001 569 625</t>
  </si>
  <si>
    <t>Glenmore Drive Cardboard Box Kittens - Grey</t>
  </si>
  <si>
    <t>Glenmore Drive Cardboard Box Kittens - Tabby Short Hair</t>
  </si>
  <si>
    <t>Glenmore Drive Cardboard Box - Tabby Long Hair</t>
  </si>
  <si>
    <t>972 274 001 569 636</t>
  </si>
  <si>
    <t>DOB May 01st, 2023</t>
  </si>
  <si>
    <t>972 274 001 569 615</t>
  </si>
  <si>
    <t>972 274 001 570 024</t>
  </si>
  <si>
    <t>Needs front leg amputated as beyond repair. Came via Mitchell Vet in Allpets. Stronghold 25/07/2023. Leg amputation 24/07/2023. NexGard 17/09/2023</t>
  </si>
  <si>
    <t>Carlingford Mother Cat - Tuxedo  Kitten2 - Moonlight</t>
  </si>
  <si>
    <t>972 274 001 578 896</t>
  </si>
  <si>
    <t>972 274 001 578 240</t>
  </si>
  <si>
    <t>Milbemax 29/06/2023, Milbemax 18/07/2023, 21/08/2023. Ear Mites. Advocate 18/07/2023</t>
  </si>
  <si>
    <t>DOB May 12th, 2023</t>
  </si>
  <si>
    <t>DOB May 08th, 2023</t>
  </si>
  <si>
    <t>972 274 001 578 238</t>
  </si>
  <si>
    <t>1 - 1.5 Years Old</t>
  </si>
  <si>
    <t>972 274 001 578 239</t>
  </si>
  <si>
    <t>Received NexGard on 18/05/2023 and 16/06/2023</t>
  </si>
  <si>
    <t>3-5 Years Old</t>
  </si>
  <si>
    <t>Was brought into the vet to be PTS by owner but Yarden the vet refused to do so. NexGard Combo 08/07/2023</t>
  </si>
  <si>
    <t>7-Years Old</t>
  </si>
  <si>
    <t>DOB 27/04/2023</t>
  </si>
  <si>
    <t>Milbemax and Stronghold treatment via O'Dowd's on June 03rd, 2023 plus Isathal eye ointment dispensed. Milbemax 19/08/2023. NexGard Kitten 20/09/2023. NexGard 20/09/2023</t>
  </si>
  <si>
    <t>Appears to have an external wound to the chest which resulted in pus build-up / infection in the chest cavity. Admitted to AP hospital on Monday 18/09/2023. Passed Away while under anaesthetic to remove built-up pus in chest cavity.</t>
  </si>
  <si>
    <t xml:space="preserve">Helen  </t>
  </si>
  <si>
    <t>Murray</t>
  </si>
  <si>
    <t>089 473 9101</t>
  </si>
  <si>
    <t>Ashbourne</t>
  </si>
  <si>
    <t>19 Brindley Park</t>
  </si>
  <si>
    <t>A84 P586</t>
  </si>
  <si>
    <t>Slane Woodfarm Mother Cat</t>
  </si>
  <si>
    <t>Slane Woodfarm Mother Cat - Kitten1</t>
  </si>
  <si>
    <t>Slane Woodfarm Mother Cat - Kitten2</t>
  </si>
  <si>
    <t>Pregnant when brought into Allpets with her two kittens on 23/09/2023.  Given Milbemax Wormer on 23/09/2023</t>
  </si>
  <si>
    <t>Admitted with seizures. Very low glucose levels and temperature quite low. PTS due to non-viability and suffering</t>
  </si>
  <si>
    <t>Very feisty little one. Given Milbemax on 23/09/2023</t>
  </si>
  <si>
    <t>DOB 17/06/2023</t>
  </si>
  <si>
    <t>Brought into AP by a member of the public. At the minute, he has ear mites and some conjunctivitis, but his temperature, pulse and respiratory rate are all normal. He was treated with Convenia, stronghold, and chloromycetin drops. Milbemax 18/07/2023 and Milbemax on 09/09/2023</t>
  </si>
  <si>
    <t>Ciara Carrickmacross Kitten4</t>
  </si>
  <si>
    <t>8-10 Weeks</t>
  </si>
  <si>
    <t>Admitted to Allpets on 17/08/2023. Discharged on 20/08/2023</t>
  </si>
  <si>
    <t>Admitted to Allpets on 17/08/2023. Discharged on 21/08/2023</t>
  </si>
  <si>
    <t>Kilsaran Cat2 - Gillian Gibson - Kitten3 - 'Jett'</t>
  </si>
  <si>
    <t>Oldbridge Manor White Mama Cat</t>
  </si>
  <si>
    <t>Oldbridge Manor White Mama Cat - Kitten1</t>
  </si>
  <si>
    <t>Oldbridge Manor White Mama Cat - Kitten2</t>
  </si>
  <si>
    <t>Oldbridge Manor White Mama Cat - Kitten3</t>
  </si>
  <si>
    <t>Surrender from Danham Aliakran, 9 Oldbridge Manor, Rathmullen Road, Drogheda, Co Meath A92 DFC1</t>
  </si>
  <si>
    <t>O'Connor</t>
  </si>
  <si>
    <t>Sharon Bell</t>
  </si>
  <si>
    <t>140 Cedarfield</t>
  </si>
  <si>
    <t>Donore Road</t>
  </si>
  <si>
    <t>086 315 9083</t>
  </si>
  <si>
    <t>O'Donnell</t>
  </si>
  <si>
    <t>Aishling</t>
  </si>
  <si>
    <t>27 Castlemartin Ave</t>
  </si>
  <si>
    <t>A92 V9H2</t>
  </si>
  <si>
    <t>086 841 1304</t>
  </si>
  <si>
    <t>A. O'Donnell</t>
  </si>
  <si>
    <t>S. O'Connor</t>
  </si>
  <si>
    <t>Steeple View Dunleer Junior Kitten1</t>
  </si>
  <si>
    <t>Steeple View Dunleer Junior Kitten2</t>
  </si>
  <si>
    <t>Steeple View Dunleer Junior Kitten3</t>
  </si>
  <si>
    <t>Beaupark Kitten - 'Sully'</t>
  </si>
  <si>
    <t xml:space="preserve">972 274 001 570 007 </t>
  </si>
  <si>
    <t>DATE IMPLANTED</t>
  </si>
  <si>
    <t>972 274 001 570 009</t>
  </si>
  <si>
    <t>972 274 001 570 008</t>
  </si>
  <si>
    <t>Highfield Mammy - Kitten 3 - 'Charmander'</t>
  </si>
  <si>
    <t>Borghi</t>
  </si>
  <si>
    <t>Rafael</t>
  </si>
  <si>
    <t>46 The Drive, Bryanstown Wood</t>
  </si>
  <si>
    <t>Beamore Road</t>
  </si>
  <si>
    <t>A92 DNP2</t>
  </si>
  <si>
    <t>083 043 7065</t>
  </si>
  <si>
    <t>FIV/FELV Negative. Ear Tipped. Advocate and Milbemax</t>
  </si>
  <si>
    <t>Creeven Tce North Road - Breda Cunningham Kitten5</t>
  </si>
  <si>
    <t>Creeven Tce North Road - Breda Cunningham Kitten6</t>
  </si>
  <si>
    <t>Creeven Tce North Road - Breda Cunningham Kitten7</t>
  </si>
  <si>
    <t>Rowan Park Mother -'Cleo'</t>
  </si>
  <si>
    <t>marijanazrncevic@gmail.com</t>
  </si>
  <si>
    <t>Muller</t>
  </si>
  <si>
    <t>Marijana</t>
  </si>
  <si>
    <t>Listoke</t>
  </si>
  <si>
    <t>Ballymakenny  Road</t>
  </si>
  <si>
    <t>087 119 7059</t>
  </si>
  <si>
    <t>EMAIL</t>
  </si>
  <si>
    <t>M. Muller</t>
  </si>
  <si>
    <t>Kellystown TNR - Tabby Female</t>
  </si>
  <si>
    <t>FIV/FELV Negative. Ear Tipped. NexGard Applied.</t>
  </si>
  <si>
    <t>972 274 001 570 023</t>
  </si>
  <si>
    <t>972 274 001 578 920</t>
  </si>
  <si>
    <t>972 274 001 578 917</t>
  </si>
  <si>
    <t>972 274 001 578 918</t>
  </si>
  <si>
    <t>972 274 001 569 633</t>
  </si>
  <si>
    <t>Glenview Kittens No. 2 - Theo</t>
  </si>
  <si>
    <t>Glenview Kittens No. 3 - Dustin</t>
  </si>
  <si>
    <t>972 274 001 570 003</t>
  </si>
  <si>
    <t>972 274 001 570 002</t>
  </si>
  <si>
    <t>972 274 001 570 005</t>
  </si>
  <si>
    <t>Bisi Young Calico Cat</t>
  </si>
  <si>
    <t>Milbemax on 02/10/2023 and Stronghold on 04/10/2023</t>
  </si>
  <si>
    <t>Milbemax and MC at V1. Milbemax at V2. Milbemax at Neuter 05/10/2023</t>
  </si>
  <si>
    <t>Riverbank Ditch Kitten1</t>
  </si>
  <si>
    <t>Riverbank Ditch Kitten2</t>
  </si>
  <si>
    <t>Riverbank Ditch Kitten3</t>
  </si>
  <si>
    <t>Smallest kitten ~ 300grams has conjunctivitis. Isathal dispensed.</t>
  </si>
  <si>
    <t>Athcarne Duleek Mother TNR - Sinead Lynch</t>
  </si>
  <si>
    <t>Mother of kitten bottlefeeders REF: AP 1000</t>
  </si>
  <si>
    <t>Athcarne Duleek TNR2 - Sinead Lynch</t>
  </si>
  <si>
    <t>Kilsaran TNR - Emer Bell</t>
  </si>
  <si>
    <t>FIV/FELV positive. PTS.</t>
  </si>
  <si>
    <t>Kells Female Tabby &amp; White Junior Kitten</t>
  </si>
  <si>
    <t>Found along with a sibling. Abandoned in the estate. NexGard 11/10/2023</t>
  </si>
  <si>
    <t>Termonfeckin TNR - Margaret Murphy</t>
  </si>
  <si>
    <t>FIV positive. PTS</t>
  </si>
  <si>
    <t>Kilsaran TNR - Diane Egar</t>
  </si>
  <si>
    <t>FIV Positive. PTS</t>
  </si>
  <si>
    <t>Boicetown, Togher, Co Louth TNR - Valerie Murphy</t>
  </si>
  <si>
    <t>St. Finian's Park - Bo</t>
  </si>
  <si>
    <t>972 274 001 570 025</t>
  </si>
  <si>
    <t>972 274 001 570 018</t>
  </si>
  <si>
    <t>Parvovirus occurred 10-days after coming into the care of DAR. NexGard 24/04/2023 and NexGard 13/10/2023</t>
  </si>
  <si>
    <t>This cat contracted Parvovirus and never left WG after neutering. Was PTS due to rapid detoriation of health.</t>
  </si>
  <si>
    <t>Tallanstown TNR - Lyndsay Matthews</t>
  </si>
  <si>
    <t>FIV/FELV Negative</t>
  </si>
  <si>
    <t>Milbemax 25/07/2023. NexGard 08/09/2023</t>
  </si>
  <si>
    <t>Adult - Elderly</t>
  </si>
  <si>
    <t>Listoke Mother Kitten2 - 'Barbie'</t>
  </si>
  <si>
    <t>Listoke Mother Kitten3 - 'Beau'</t>
  </si>
  <si>
    <t>Listoke Mother Kitten4 - 'Benji'</t>
  </si>
  <si>
    <t>7-8 Weeks
DOB 11/05/2023</t>
  </si>
  <si>
    <t>Carrickmacross - Ciara Kitten</t>
  </si>
  <si>
    <t>RTA</t>
  </si>
  <si>
    <t>Laurence's Park - Sick Cat</t>
  </si>
  <si>
    <t>Previously neutered and ear-tipped. Open wound on paw and sores on mouth and around eye. Underweight with poor body condition (2.1-kg), and fur matted. FIV/FELV negative. Due to extent of injury on the paw and the poor body condition of the cat, it was decided the best thing would be to PTS.</t>
  </si>
  <si>
    <t>Princess April - Oriel Cove Abandoned Cat</t>
  </si>
  <si>
    <t>DOB 01/01/2013</t>
  </si>
  <si>
    <t>Creeven Tce - TNR</t>
  </si>
  <si>
    <t>Termonfeckin - Margaret Murphy TNR</t>
  </si>
  <si>
    <t>FIV/FELV Positive. PTS</t>
  </si>
  <si>
    <t>Julianstown - Regina Smith</t>
  </si>
  <si>
    <t>972 274 001 578 932</t>
  </si>
  <si>
    <t>DOB 23/09/2022</t>
  </si>
  <si>
    <t>Female: Heart Murmur. FIV/FELV Negative. Milbemax Wormer on 12/06/2023, and 10/07/2023. Drontal 02/10/2023. Stronghold Mid-June and Mid-July 2023</t>
  </si>
  <si>
    <t>Male: Narrowing of the ear canal. May be deaf. Could not get a blood sample for FIV/FELV Testing. Milbemax Wormer 12/06/2023, and 10/07/2023. Drontal 02/10/2023. Stronghold Mid-June &amp; Mid-July 2023</t>
  </si>
  <si>
    <t>Male: FIV/FELV Negative. Undescended testicle. Milbemax wormeron 12/06/2023, and 10/07/2023 and 02/10/2023. Stomatitis diagnosis. Stronghold Mid-June and Mid-July 2023</t>
  </si>
  <si>
    <t>FIV/FELV negative. Milbemax and Advocate on 14/07/2023 and 08/08/2023. Milbemax on 27/09/2023</t>
  </si>
  <si>
    <t>Dundalk Lidl Carpark Stray Cat - 'Dara'</t>
  </si>
  <si>
    <t>Milbemax 06/09/2023 and 27/09/2023</t>
  </si>
  <si>
    <t>Athcarne Duleek Bottle Feeder - Sinead Lynch - Kitten1</t>
  </si>
  <si>
    <t>Athcarne Duleek Bottle Feeder - Sinead Lynch - Kitten2</t>
  </si>
  <si>
    <t>Stray Mother Cat abandoned two kittens that are being cared for by Sinead Lynch, Athcarne, Duleek, Co Meath, A92 HD90, 086 868 2750. Sick Kitten</t>
  </si>
  <si>
    <t>Stray Mother Cat abandoned two kittens that are being cared for by Sinead Lynch, Athcarne, Duleek, Co Meath, A92 HD90, 086 868 2750. Well Kitten</t>
  </si>
  <si>
    <t>972 274 001 569 641</t>
  </si>
  <si>
    <t xml:space="preserve">No Microchip detected via AP on 18/09/2023. Found by a member of the public in the middle of the N1 dual carriageway. Almost hit by passing cars. Weight at neutering 2.85-kg. Milbemax 19/10/2023 V1. </t>
  </si>
  <si>
    <t>PetBliss - Orphaned Dundalk Kitten1</t>
  </si>
  <si>
    <t>PetBliss - Orphaned Dundalk Kitten2</t>
  </si>
  <si>
    <t>PetBliss - Orphaned Dundalk Kitten3</t>
  </si>
  <si>
    <t xml:space="preserve">972 274 001 569 621 </t>
  </si>
  <si>
    <t>Looks to have a bit of cat flu. Came down from the car engine and into the trap. MC at V1. NexGard on 26/07/2023, 13/09/2023, 23/10/2023. FIV/FELV Tested Negative.</t>
  </si>
  <si>
    <t>Hilton Foods TNR Mammy Cat</t>
  </si>
  <si>
    <t>Hilton Foods TNR Kitten1</t>
  </si>
  <si>
    <t>Hilton Foods TNR Kitten2</t>
  </si>
  <si>
    <t>Hilton Foods TNR Kitten3</t>
  </si>
  <si>
    <t>Hilton Foods TNR Kitten4</t>
  </si>
  <si>
    <t>Found by a member of the public in the middle of the Donore Road on Sunday Night. Milbemax 30/09/2023. Was in WG for Parvo treatment / hospitalisation</t>
  </si>
  <si>
    <t>Rathmullen Park Box Kitten1</t>
  </si>
  <si>
    <t>Rathmullen Park Box Kitten2</t>
  </si>
  <si>
    <t>Diagnosed with ringworm on 06/11/2023. Five week Itrafungol course. Milbemax 06/11/2023 and Stronghold</t>
  </si>
  <si>
    <t>Rayn</t>
  </si>
  <si>
    <t>Leonnie Keena</t>
  </si>
  <si>
    <t>8 Fair Street Apts</t>
  </si>
  <si>
    <t>A92 X313</t>
  </si>
  <si>
    <t>085 205 9120</t>
  </si>
  <si>
    <t>L. Ryan</t>
  </si>
  <si>
    <t>Dromiskin Ginger Kitten - 'Pico'</t>
  </si>
  <si>
    <t>972 274 001 578 888</t>
  </si>
  <si>
    <t>972 274 001 578 886</t>
  </si>
  <si>
    <t>972 274 001 578 937</t>
  </si>
  <si>
    <t>Lactating mother who lost her kittens. Feeding Last Hope Kittens. FIV/FELV Test at Neuter 31/08/2023 Negative. NexGard Combo 10/11/2023</t>
  </si>
  <si>
    <t>Highfield Mammy - Kitten 1 - 'Squirtle'</t>
  </si>
  <si>
    <t>Milbemax 10/10/2023. NexGard Combo 12/11/2023</t>
  </si>
  <si>
    <t>972 274 001 578 938</t>
  </si>
  <si>
    <t>Heavily Pregnant. Advocate administered on 09/05/2023 at O'Dowd Vet Ardee. NexGard on 04/08/2023</t>
  </si>
  <si>
    <t>Grange Rath Wooden Box Cat1 - 'Roxanne'</t>
  </si>
  <si>
    <t>Grange Rath Wooden Box Cat2 - 'Milan'</t>
  </si>
  <si>
    <t>Grange Rath Wooden Box Cat1 - 'Milan'</t>
  </si>
  <si>
    <t>8-9 Years Old</t>
  </si>
  <si>
    <t>Hilton Foods TNR Kitten5</t>
  </si>
  <si>
    <t>Milbemax 06/11/2023 and Stronghold. Infected right eye. Metacam Injection. Eye drops. Contracted Parvovirus. Was in ICU in Allpets.</t>
  </si>
  <si>
    <t>Milbemax 06/11/2023. Weight = 590g. Admitted to AP on 17/11/2023. Passed away most likely due to panleukopenia.</t>
  </si>
  <si>
    <t>Milbemax 06/11/2023. Weight = 660g. Admitted to AP on 17/11/2023. Doing well and will be discharged on 20/11/2023</t>
  </si>
  <si>
    <t>Mornington Manor Drive Community Cat - 'Cookie'</t>
  </si>
  <si>
    <t>972 274 001 569 642</t>
  </si>
  <si>
    <t>Milbemax 08/08/2023. Probiotic Powder. Kitten Gastro Food. Milbemax 11/09/2023 and 27/10/2023</t>
  </si>
  <si>
    <t>Milbemax 08/08/2023. Probiotic Powder. Kitten Gastro Food. Milbemax 11/09/2023 and 27/10/2023. NexGard Kitten 21/11/2023</t>
  </si>
  <si>
    <t>Marian Park Kitten3 - 'Penny'</t>
  </si>
  <si>
    <t>Grange Rath Wooden Box Kitten2 - 'Woodie'</t>
  </si>
  <si>
    <t>972 274 001 578 891</t>
  </si>
  <si>
    <t>972 274 001 578 915</t>
  </si>
  <si>
    <t>972 274 001 569 650</t>
  </si>
  <si>
    <t>Milbemax 08/08/2023. Probiotic Powder. Kitten Gastro Food. Milbemax 11/09/2023 and 27/10/2023. NexGard Kitten 23/11/2023</t>
  </si>
  <si>
    <t>&lt; 1 Year of Age</t>
  </si>
  <si>
    <t>&lt;1 Year of Age</t>
  </si>
  <si>
    <t>972 274 001 569 634</t>
  </si>
  <si>
    <t>NexGard on 24/10/2023. FIV/FELV Negative. Not MC nor Vaccinated. Ear Tipped</t>
  </si>
  <si>
    <t>Mornington Stray Kitten</t>
  </si>
  <si>
    <t>AP Visit on 22/11/2023. Flea infestation. Treated for Fleas with a Spot-On and given Milbemax Wormer</t>
  </si>
  <si>
    <t>NexGard on 06/11/2023. Not FIV/FELV Tested as sibling and mother tested negative. Ear-Tipped</t>
  </si>
  <si>
    <t>An Tobar Newfoundwell Road Mother - 'Kate Moss'</t>
  </si>
  <si>
    <t>An Tobar Newfoundwell Road Mother - Kitten3 - ' Gigi'</t>
  </si>
  <si>
    <t>FIV/FELV Test Negative. 18/08/2023 Advocate &amp; Milbemax. 27/09/2023 Milbemax at V2. NexGard 25/11/2023</t>
  </si>
  <si>
    <t>Yellowbatter Kitten3 - Mimi Mother - Gabrielle C</t>
  </si>
  <si>
    <t>Yellowbatter Kitten1 - Mimi Mother -Gabrielle A</t>
  </si>
  <si>
    <t>1 Windmill Road Kitten - 'Rocket'</t>
  </si>
  <si>
    <t>Admitted to AP due to lethargy and lack of appetite on. PTS due to little improvement. Symptoms indicated Parvovirus.</t>
  </si>
  <si>
    <t>Coyle</t>
  </si>
  <si>
    <t>Liam</t>
  </si>
  <si>
    <t>087 123 3083</t>
  </si>
  <si>
    <t>L. Coyle</t>
  </si>
  <si>
    <t>Crowley</t>
  </si>
  <si>
    <t>Sarah-Louise</t>
  </si>
  <si>
    <t>Meadow View</t>
  </si>
  <si>
    <t>086 311 2940</t>
  </si>
  <si>
    <t>S. Crowley</t>
  </si>
  <si>
    <t>Newtown Wood Drogheda Stray Kitten - ' Blade'</t>
  </si>
  <si>
    <t>Found under a car on Sunday Night Aug 06th, 2023. Some trauma to the teeth. Stronghold &amp; Milbemax 08/08/2023</t>
  </si>
  <si>
    <t>37 Dun Saithne Green</t>
  </si>
  <si>
    <t>K32 ER88</t>
  </si>
  <si>
    <t>Milbemax 08/08/2023. Probiotic Powder. Kitten Gastro Food. Milbemax 11/09/2023 and 27/10/2023. FIV/FELV Test Negative 11/09/2023 AV.</t>
  </si>
  <si>
    <t>Water Wipes Matthews Lane - Injured Cat - 'Dawn'</t>
  </si>
  <si>
    <t>Tallanstown TNR - Margaret McGuiness</t>
  </si>
  <si>
    <t>Tested positive for FIV. PTS</t>
  </si>
  <si>
    <t>Georges Street TNR</t>
  </si>
  <si>
    <t>Carrickmacross Tortie Kitten - Ciara -'Hebe'</t>
  </si>
  <si>
    <t>Priorstown, Termonfeckin - Sheila McElvoy - TNR1</t>
  </si>
  <si>
    <t>Priorstown, Termonfeckin - Sheila McElvoy - TNR2</t>
  </si>
  <si>
    <t>Not tested for FIV/FELV. Sheila McElvoy to pay for neutering charges.</t>
  </si>
  <si>
    <t>NexGard 18/10/2023 an 04/12/2023</t>
  </si>
  <si>
    <t>Ciara Carrickmacross - Persephone Tortie Mother Cat</t>
  </si>
  <si>
    <t>Ascal a Haon, Yellowbatter - Mother</t>
  </si>
  <si>
    <t>Ascal a Haon, Yellowbatter - Mother Kitten3</t>
  </si>
  <si>
    <t>972 274 001 578 893</t>
  </si>
  <si>
    <t>Marian Park Kitten2 - 'Sheldon'</t>
  </si>
  <si>
    <t>972 274 001 569 643</t>
  </si>
  <si>
    <t>Drybridge Old Slane Road Chicken Coop - Kitten1 -'Salmon'</t>
  </si>
  <si>
    <t>Priorstown, Termonfeckin - Sheila McElvoy - TNR3</t>
  </si>
  <si>
    <t>Johnny Butterly's Cat - Mother TNR</t>
  </si>
  <si>
    <t>Johnny Butterly's Cat - Mother - Kitten1</t>
  </si>
  <si>
    <t>Johnny Butterly's Cat - Mother - Kitten2</t>
  </si>
  <si>
    <t>Johnny Butterly's Cat - Mother - Kitten3</t>
  </si>
  <si>
    <t>Johnny Butterly's Cat - Mother - Kitten4</t>
  </si>
  <si>
    <t>Johnny Butterly's Cat - Mother - Kitten5</t>
  </si>
  <si>
    <t>Johnny Butterly's Cat - Mother - Kitten6</t>
  </si>
  <si>
    <t>Johnny Butterly's Cat - Mother - Kitten7</t>
  </si>
  <si>
    <t>Admitted to WG on 02/09/2023 and discharged on 08/09/2023.</t>
  </si>
  <si>
    <t>Admitted to WG on 06/09/2023 and passed away on 06/09/2023</t>
  </si>
  <si>
    <t>10-weeks old</t>
  </si>
  <si>
    <t>972 274 001 513 195</t>
  </si>
  <si>
    <t>Very Feral. May get tested for FIV/FELV. MC at Neutering. Milbemax 07/03/2023 and NexGard Combo 27/11/2023</t>
  </si>
  <si>
    <t>Yellowbatter Kitten2 - Mimi Mother - Gabrielle B - 'Rhona'</t>
  </si>
  <si>
    <t xml:space="preserve">DOB 26/01/2023 </t>
  </si>
  <si>
    <t>972 274 001 596 156</t>
  </si>
  <si>
    <t>DOB 01/01/2023</t>
  </si>
  <si>
    <t>972 274 001 570 034</t>
  </si>
  <si>
    <t>972 274 001 578 892</t>
  </si>
  <si>
    <t>NexGard given on 11/12/2023.</t>
  </si>
  <si>
    <t>Maura Higgins Dunleer Cat2 - Kitten3 - 'Maurice'</t>
  </si>
  <si>
    <t>Knockbrackdown Injured Kitten - 'Cloud'</t>
  </si>
  <si>
    <t>972 274 001 578 242</t>
  </si>
  <si>
    <t>972 274 001 578 243</t>
  </si>
  <si>
    <t>Mother abandoned these kittens at 57 Cedarfield, Drogheda, Ciaran McCormack 086 862 4905. Mother had not been seen 6-days prior to rescue. Milbemax 08/09/23. Milpro 03/10/2023. NexGard Combo 14/12/2023</t>
  </si>
  <si>
    <t>Mother abandoned these kittens at 57 Cedarfield, Drogheda, Ciaran McCormack 086 862 4905. Mother had not been seen 6-days prior to rescue. Milbemax 08/09/2023 and Milpro 03/10/2023</t>
  </si>
  <si>
    <t>972 274 001 578 905</t>
  </si>
  <si>
    <t>Milbemax 22/11/2023 and 20/12/2023.</t>
  </si>
  <si>
    <t>Born by Cesearan Section. Milbemax 22/11/2023 and 20/12/2023</t>
  </si>
  <si>
    <t>Brought in by owner due to difficulty in labour. Owner surrendered to AP as they could not afford the Cesearan Section surgery that was needed. One kitten had been born in the early morning hours. Milbemax 22/11/2023 and 20/12/2023</t>
  </si>
  <si>
    <t>972 274 001 578 908</t>
  </si>
  <si>
    <t>Milbemax 22/08/2023 and 27/09/2023 and 30/11/2023. NexGard 02/01/2024</t>
  </si>
  <si>
    <t>Former Owner: Holly DeLarcy. Left behind by owners. Given to a neighbour who did not bother with her. Local residents were feeding her. Neutered via AP in 2013. No vaccination history. Second owner is Jason O'Boyle. Has lesions and irregular growths on liver. Blood test shows liver function is fine (19/10/2023). Milbemax 19/10/2023</t>
  </si>
  <si>
    <t>972 274 001 569 644</t>
  </si>
  <si>
    <t>972 274 001 569 645</t>
  </si>
  <si>
    <t>1 Year Old</t>
  </si>
  <si>
    <t>Rathmullen Park - Emergency Injured B/W Cat RTA</t>
  </si>
  <si>
    <t>Castlebellingham Abandoned Blind Cat</t>
  </si>
  <si>
    <t>7-8  Years Old</t>
  </si>
  <si>
    <t>Fluid around lungs. Laboured breathing. Suspect RTA and internal bleeding. Emergency After-Hours Call-Out to Allpets. X-rays revealed possible bronchial pneumonia. 
No response to oxygen, and suggested steroids, however AnnMarie thought the severity of his condition would not respond to steroids, and recommended PTS due to prolonged suffering this cat has endured. FIV/FELV negative when tested at intake date.</t>
  </si>
  <si>
    <t>Vet confirmd that this cat is blind. Came via Ann McConnell 086 129 0966 as she reported the cat had been abandoned at her house in Castlebellingham.</t>
  </si>
  <si>
    <t>Siamese X Sphynx Kitten - Surrender</t>
  </si>
  <si>
    <t>Olaf Deaf White Male - Surrender</t>
  </si>
  <si>
    <t>2 to 2.5 Years Old</t>
  </si>
  <si>
    <t>Newry Ginger Kitten - Surrender - 'Lando'</t>
  </si>
  <si>
    <t>750g on intake. No ringworm. Given 0.04ml Meloxcam and 0.08ml Convenia. Milbemax, and drops dispensed for right eye - 02/09/2023. Milbemax and Advocate given on 08/12/2023. NexGard 11/01/2024</t>
  </si>
  <si>
    <t>Had three kittens however two were found dead at Ascal a Haon and the third passed away while in the care of DAR. NexGard Combo at Neutering and FIV/FELV negative. Stronghold 18/12/2023 (ear mites) and Milbemax 18/12/2023.  Given Surolan for ears. NexGard Combo 14/01/2024</t>
  </si>
  <si>
    <t>Infected eyes. Oramox and Maxitrol 22/08/2023. Started Liquid Parazole wormer on 08/09/2023. Milbemax and Advocate 08/12/2023. Infected eye. Administered Isothal. NexGard Combo 11/01/2024.</t>
  </si>
  <si>
    <t xml:space="preserve">Infected eyes. Oramox and Maxitrol 22/08/2023. Started Liquid Parazole wormer on 08/09/2023. Milbemax and Advocate 08/12/2023. NexGard Combo 11/01/2024 </t>
  </si>
  <si>
    <t>Cedarfield Mother - Coco</t>
  </si>
  <si>
    <t>Cedarfield Mother - Kitten1 - Apple</t>
  </si>
  <si>
    <t xml:space="preserve">Meadowview Stray Mother </t>
  </si>
  <si>
    <t>972 274 001 480 147</t>
  </si>
  <si>
    <t>Trinity Gardens Stray Cat</t>
  </si>
  <si>
    <t>972 274 001 578 237</t>
  </si>
  <si>
    <t>NexGard on 20/11/2023 at V1. NexGard 23/01/2024</t>
  </si>
  <si>
    <t>972 274 001 549 089</t>
  </si>
  <si>
    <t>972 274 001 578 904</t>
  </si>
  <si>
    <t>This kitten was found amongst a feral colony at the Chapel Carpark in Carrickmacross. It is believed that this kitten is not from the feral colony but either dumped there or wandered into the group. Milbemax 29/09/23. NexGard 28/01/24</t>
  </si>
  <si>
    <t>972 274 001 596 168</t>
  </si>
  <si>
    <t>972 274 001 596 169</t>
  </si>
  <si>
    <t>972 274 001 569 647</t>
  </si>
  <si>
    <t>Surrender from Danham Aliakran, 9 Oldbridge Manor, Rathmullen Road, Drogheda, Co Meath A92 DFC1. Advocate 03/10/2023. Milbemax 03/11/2023. FIV/FELV -ve. NexGard 29/01/24</t>
  </si>
  <si>
    <t>972 274 001 609 238</t>
  </si>
  <si>
    <t>21/11/23 Milbemax plus TriCat. 16/12/23 TriCat. 08/02/24 Milbemax plus Advocate.</t>
  </si>
  <si>
    <t>Julianstown - Regina Smith - TNR Kitten1</t>
  </si>
  <si>
    <t>Julianstown - Regina Smith - TNR Kitten2</t>
  </si>
  <si>
    <t>Julianstown - Regina Smith - TNR Kitten3</t>
  </si>
  <si>
    <t xml:space="preserve"> DOB EST 11/10/2023</t>
  </si>
  <si>
    <t>DOB EST 11/10/2023</t>
  </si>
  <si>
    <t>Yvonne</t>
  </si>
  <si>
    <t>DOB 01/06/2023</t>
  </si>
  <si>
    <t>DOB 01/02/2023</t>
  </si>
  <si>
    <t>Milbemax 14/09/23 &amp; Advocate 14/09/23. Bravecto Spot-On 14/11/23.</t>
  </si>
  <si>
    <t>DOB 10/06/2023</t>
  </si>
  <si>
    <t>Carrickmacross Tortie Kitten - Ciara - Hebe</t>
  </si>
  <si>
    <t>DOB 31/08/2023</t>
  </si>
  <si>
    <t>972 274 001 578 235</t>
  </si>
  <si>
    <t>NexGard Kitten Combo 08/11/2023 and 15/12/2023.</t>
  </si>
  <si>
    <t>DOB 20/10/2022</t>
  </si>
  <si>
    <t>DOB 05/05/2023</t>
  </si>
  <si>
    <t>972 274 001 569 618</t>
  </si>
  <si>
    <t>972 274 001 609 239</t>
  </si>
  <si>
    <t>DOB 04/03/2023</t>
  </si>
  <si>
    <t>DOB 11/10/2023</t>
  </si>
  <si>
    <t>972 274 001 578 901</t>
  </si>
  <si>
    <t>DOB 11/05/2023</t>
  </si>
  <si>
    <t>972 274 001 578 248</t>
  </si>
  <si>
    <t>972 274 001 578 936</t>
  </si>
  <si>
    <t>NexGard Combo 13/12/2023</t>
  </si>
  <si>
    <t xml:space="preserve">NexGard Combo </t>
  </si>
  <si>
    <t>NexGard Combo 02/09/2023</t>
  </si>
  <si>
    <t>NexGard Combo 27/08/2023</t>
  </si>
  <si>
    <t>NexGard Combo 28/08/2023</t>
  </si>
  <si>
    <t>NexGard Vombo 30/08/2023</t>
  </si>
  <si>
    <t>NexGard Combo 09/09/2023</t>
  </si>
  <si>
    <t>NexGard Combo 08/09/2023</t>
  </si>
  <si>
    <t>NexGard Combo 11/09/2023</t>
  </si>
  <si>
    <t>NexGard Combo 13/09/2023</t>
  </si>
  <si>
    <t>NexGard Combo 27/09/2023</t>
  </si>
  <si>
    <t>NexGard Combo 06/09/2023</t>
  </si>
  <si>
    <t xml:space="preserve">NexGard Vombo </t>
  </si>
  <si>
    <t>NexGard Combo 21/10/2023</t>
  </si>
  <si>
    <t>NexGard Combo 11/11/2023</t>
  </si>
  <si>
    <t>NexGard Combo 03/12/2023</t>
  </si>
  <si>
    <t>NexGard Combo 05/12/2023</t>
  </si>
  <si>
    <t>DOB 08/06/2023</t>
  </si>
  <si>
    <t>DOB 22/07/2023</t>
  </si>
  <si>
    <t>972 274 001 596 166</t>
  </si>
  <si>
    <t>Milbemax 25/07/2023 &amp; 22/10/2023. NexGard 07/09/2023 and 19/12/2023</t>
  </si>
  <si>
    <t>Admitted to WG due to diorrheoa on 11/07/2023 (Westgate). 14/07/2023 (Milbemax WG). Milbemax 22/11/2023. Advocate 22/11/2023. RETURNED TO DAR as Woodie was not working out with new owner.</t>
  </si>
  <si>
    <t>DOB 05/01/2023</t>
  </si>
  <si>
    <t>972 274 001 578 244</t>
  </si>
  <si>
    <t>972 274 001 578 241</t>
  </si>
  <si>
    <t>DOB 28/05/2023</t>
  </si>
  <si>
    <t>DOB 09/10/2022</t>
  </si>
  <si>
    <t>Monasterboice Graveyard Cat - Daisy</t>
  </si>
  <si>
    <t>Londis Yellowbatter TNR1</t>
  </si>
  <si>
    <t>Londis Yellowbatter TNR2</t>
  </si>
  <si>
    <t>Junior Kittens</t>
  </si>
  <si>
    <t>Londis Yellowbatter TNR3</t>
  </si>
  <si>
    <t>Cat Flu. Given Oramox (Penicillian based liquid antibiotic). Milbemax Wormers dispensed 31/07/2023. Eye Damage (10/01/2024). Cat was too feral to operate and care for damaged eye.</t>
  </si>
  <si>
    <t>Milbemax and Advocate on 08/12/2023. NexGard 11/01/2024</t>
  </si>
  <si>
    <t>972 274 001 596 167</t>
  </si>
  <si>
    <t>DOB 02/08/2023</t>
  </si>
  <si>
    <t>Moto Moto</t>
  </si>
  <si>
    <t>MAINE COON</t>
  </si>
  <si>
    <t>TORTIE/GINGER</t>
  </si>
  <si>
    <t>972 274 200 320 184</t>
  </si>
  <si>
    <t>DOB 12/12/2021</t>
  </si>
  <si>
    <t>NexGard on 06/11/2023. FIV/FELV Negative. Not MC nor Vaccinated. Ear Tipped.</t>
  </si>
  <si>
    <t>FIV/FELV Test Negative. NexGard Combo 19/12/2023. MC Registered to DAR.</t>
  </si>
  <si>
    <t>FIV/FELV -ve. Ear Tipped. 24-hour acting Metacam Injection.</t>
  </si>
  <si>
    <t>FIV/FELv -ve. Ear Tipped. 24-hour acting Metacam.</t>
  </si>
  <si>
    <t>Georges Street TNR - Eye Injury</t>
  </si>
  <si>
    <t xml:space="preserve">Junior Kitten </t>
  </si>
  <si>
    <t>Hamlinstown Kitten1</t>
  </si>
  <si>
    <t>Admitted to WG unwell on 23/10/2023.</t>
  </si>
  <si>
    <t>Hamlinstown Kitten2 - 'Hamlet'</t>
  </si>
  <si>
    <t>F. Cunningham</t>
  </si>
  <si>
    <t>Pearse Park TNR - Black Female</t>
  </si>
  <si>
    <t>Puffe</t>
  </si>
  <si>
    <t>Leo</t>
  </si>
  <si>
    <t>Previously neutered by original owner. 08/02/2024 Milbemax &amp; Advocate. Maxitrol Drops for infected eyes.</t>
  </si>
  <si>
    <t>Duleek Town Kitten w/collar - 'Rafael'</t>
  </si>
  <si>
    <t>Dunany Sick Cat</t>
  </si>
  <si>
    <t>Clogherhead Injured Ginger - Levin's Pub</t>
  </si>
  <si>
    <t>Left into WG by John Crowley. Very sick cat and was PTS.</t>
  </si>
  <si>
    <t>DOB 09/10/2023</t>
  </si>
  <si>
    <t>Hardman's Gardens - TNR Pregnant Tabby Cat</t>
  </si>
  <si>
    <t>FIV/FELV -ve (08/01/2024). Ear Tipped at spay. Kidney function is OK. (Concern as she was drinking a lot of water.)</t>
  </si>
  <si>
    <t>Hardman's Gardens - TNR Pregnant Tabby Cat - Kitten1</t>
  </si>
  <si>
    <t>Hardman's Gardens - TNR Pregnant Tabby Cat - Kitten2</t>
  </si>
  <si>
    <t>Hardman's Gardens - TNR Pregnant Tabby Cat - Kitten3</t>
  </si>
  <si>
    <t>Hardman's Gardens - TNR Pregnant Tabby Cat - Kitten4</t>
  </si>
  <si>
    <t>Hardman's Gardens - TNR Pregnant Tabby Cat - Kitten5</t>
  </si>
  <si>
    <t>Hardman's Gardens - TNR Pregnant Tabby Cat - Kitten6</t>
  </si>
  <si>
    <t>Hardman's Gardens - TNR Pregnant Tabby Cat - Kitten7</t>
  </si>
  <si>
    <t>DOB 05/10/2023</t>
  </si>
  <si>
    <t>Kitten in foster care with Orlaith (WG Nurse)</t>
  </si>
  <si>
    <t>FIV</t>
  </si>
  <si>
    <t>FELV</t>
  </si>
  <si>
    <t>-ve</t>
  </si>
  <si>
    <t>+ve</t>
  </si>
  <si>
    <t>Tested +ve for FIV therefore PTS.</t>
  </si>
  <si>
    <t>Healthy kitten apparently found outside wearing a collar. Admitted to WG and was hospitalised. Suspected Parvovirus. Was discharged 22/02/2024</t>
  </si>
  <si>
    <t>Funshog Cat2 - 'Amber'</t>
  </si>
  <si>
    <t>Kennedy</t>
  </si>
  <si>
    <t>23 Listoke Elms</t>
  </si>
  <si>
    <t>086 179 6002</t>
  </si>
  <si>
    <t>S. Kennedy</t>
  </si>
  <si>
    <t>Kate Brennan Orthopaedic Kitten</t>
  </si>
  <si>
    <t>Found in Grange Rath. Referred to as 'Becky' and now 'Willow'. Unauthorised visit and charges. Orthopaedic surgery. Unknown where the kitten currently is.</t>
  </si>
  <si>
    <t>Diesel fuel poisoning.</t>
  </si>
  <si>
    <t>Listoke Mother Kitten2 - 'Beau'</t>
  </si>
  <si>
    <t>Yellowbatter Kitten - Gabrielle A - Reggie</t>
  </si>
  <si>
    <t>Yellowbatter Kitten - Gabrielle B - Ronnie</t>
  </si>
  <si>
    <t>DOB 26/01/2023</t>
  </si>
  <si>
    <t>972 274 001 570 032</t>
  </si>
  <si>
    <t>972 274 001 570 031</t>
  </si>
  <si>
    <t>Wormed 07/03/2023. No external parasitic treatment.</t>
  </si>
  <si>
    <t>Ballsgrove Stray Tabby - Juney Smith -'Grover'</t>
  </si>
  <si>
    <t>Ascal a Haon Yellowbatter Stray Garden Cat - 'Marilyn'</t>
  </si>
  <si>
    <t>953 010 001 488 991</t>
  </si>
  <si>
    <t>Cat suffered from ear mites. Microchipped but not registered in an Irish database. Owner: Rick Douglas Wincote, 87 Ascal a Haon, Yellowbatter, Drogheda, Co Louth</t>
  </si>
  <si>
    <t>TNR RETURN/RELEASE</t>
  </si>
  <si>
    <t>Otis - Navan Cat Owner deceased</t>
  </si>
  <si>
    <t>Slane Cat</t>
  </si>
  <si>
    <t>972 274 001 578 231</t>
  </si>
  <si>
    <t>FIV/FELV Negative. Milbemax &amp; Spot-On 10/07/2023 and Bravecto 25/10/2023. NexGard 26/02/2024</t>
  </si>
  <si>
    <t>DOB 09/11/2021</t>
  </si>
  <si>
    <t>972 274 001 596 170</t>
  </si>
  <si>
    <t>Ardee Town Barber Shop Black Kitten - 'Clipper'</t>
  </si>
  <si>
    <t>DOB 14/11/2023</t>
  </si>
  <si>
    <t xml:space="preserve">Milbemax 09/01/2024 &amp; Advocate 09/01/2024. Milbemax 29/01/2024. </t>
  </si>
  <si>
    <t>972 274 001 596 188</t>
  </si>
  <si>
    <t xml:space="preserve">01/10/2024 - Milbemax.  </t>
  </si>
  <si>
    <t>6-8 Weeks / DOB 03/08/23</t>
  </si>
  <si>
    <t>972 274 001 596 187</t>
  </si>
  <si>
    <t>01/20/2024 - Milbemax. 19/02/2024 Milbemax &amp; Advocate. NOTE: Not a friendly cat. Loves outdoor farm life.</t>
  </si>
  <si>
    <t>01/10/2024 - Milbemax. 31/01/2024 Milbemax &amp; Advocate. 26/02/2024 visit at Allpets - Conjunctivitis and sneezing with opaque discharge. Antibiotic injection plus Loxicom injection. Advocate administered plus ears cleaned. Weight on 26/02/24 = 2.14 kg.</t>
  </si>
  <si>
    <t>972 274 001 578 232</t>
  </si>
  <si>
    <t>Needs to be neutered and will be returned to Caravan Park. Admitted to WG due to lethargy and not eating - 12/10/2022 (Yarden Vet). Booster vaccination on 23/11/2023.</t>
  </si>
  <si>
    <t>DOB 30/03/2023</t>
  </si>
  <si>
    <t>972 274 001 578 934</t>
  </si>
  <si>
    <t>FIV/FELV Negative. NexGard applied on 11/09/2023. Admitted to WG on Tues 19/09/2023</t>
  </si>
  <si>
    <t>Puffyca - Dunleer B/W Cat - Martin</t>
  </si>
  <si>
    <t>Martin took back Puffyca</t>
  </si>
  <si>
    <t>972 274 001 596 189</t>
  </si>
  <si>
    <t>972 274 001 609 217</t>
  </si>
  <si>
    <t>972 274 001 609 218</t>
  </si>
  <si>
    <t>972 274 001 609 216</t>
  </si>
  <si>
    <t>Marley's Lane Kitten1 - 'Spraoi'</t>
  </si>
  <si>
    <t>Marley's Lane Kitten3 -'Gra'</t>
  </si>
  <si>
    <t>Dundalk Surrender - 'Bootsie'</t>
  </si>
  <si>
    <t>Upper Cloughvalley Carrickmacross Infected Eye Kitten - 'Carrie'</t>
  </si>
  <si>
    <t>Foster by Fiona Brogan who took over kitten's veterinary care.</t>
  </si>
  <si>
    <t>Thrown from car Tortie kitten - 'CeCe' / 'Misty'</t>
  </si>
  <si>
    <t>Black Rock Co Louth Surrender - 'Holly'</t>
  </si>
  <si>
    <t>2-3 Years of Age</t>
  </si>
  <si>
    <t>Dunleer Kitten1 - Patricia Butterly - Kitten1 -'Toffee'</t>
  </si>
  <si>
    <t>Dunleer Kitten2 - Patricia Butterly - Kitten2 - 'Treacle'</t>
  </si>
  <si>
    <t>Walshestown Injured Paw White &amp; Tabby Pregnant Cat - Brian Smith - 'Brianna'</t>
  </si>
  <si>
    <t>Injured front paw and pregnant.</t>
  </si>
  <si>
    <t>Elmwood Estate RTA - 'Elmo'</t>
  </si>
  <si>
    <t>Omeath - Surrender Cat5</t>
  </si>
  <si>
    <t>Omeath - Surrender Cat6</t>
  </si>
  <si>
    <t>RTA Inured Eye Cat - 'Mellow'</t>
  </si>
  <si>
    <t>972 274 001 570 021</t>
  </si>
  <si>
    <t>Worming Treatment 02/01/2024</t>
  </si>
  <si>
    <t>DOB 09/05/2022</t>
  </si>
  <si>
    <t>DOB 21/09/2019</t>
  </si>
  <si>
    <t>The Cove Holiday View Caravan Park - Clogherhead Mama Cat (Mama Gump)</t>
  </si>
  <si>
    <t>Maura O'Hara Dunleer Cat1 - Lady</t>
  </si>
  <si>
    <t>DOB 03/06/2022</t>
  </si>
  <si>
    <t>Maura O'Hara Dunleer Cat1 - 'Lady'</t>
  </si>
  <si>
    <t>972 274 001 578 903</t>
  </si>
  <si>
    <t>4 Months / DOB 01/09/2023</t>
  </si>
  <si>
    <t>Marley's Lane Kitten1 -'Croaga'</t>
  </si>
  <si>
    <t>Came into the direct care of DAR 31/10/2023. Milbemax 21/07/2023 &amp; 31/08/2023. Milbemax &amp; Advocate 08/11/2023. NexGard Combo - March 02nd, 2024</t>
  </si>
  <si>
    <t>Milbemax &amp; Advocate 26/01/2024. RTA Victim.</t>
  </si>
  <si>
    <t>Kirke</t>
  </si>
  <si>
    <t>No. 20 The Lodge</t>
  </si>
  <si>
    <t>Lanestown View</t>
  </si>
  <si>
    <t>Donabate</t>
  </si>
  <si>
    <t>K36 F2X3</t>
  </si>
  <si>
    <t>083 889 6085</t>
  </si>
  <si>
    <t>E. Kirke</t>
  </si>
  <si>
    <t>945 000 001 602 664</t>
  </si>
  <si>
    <t>Community Cat with an injury to the leg. Advocate and Milbemax at V1. Previously Microchipped, Neutered, and owned by Nicola Flynn, 2 The Court, Mornington Manor, Mornington Co Meath. Nicola Flynn agreed to surrender the cat over to DAR. Previously vaccinated, so 17/10/2023 was a booster vaccination.</t>
  </si>
  <si>
    <t>14-15 Weeks / DOB 31/03/2023</t>
  </si>
  <si>
    <t>972 274 001 551 249</t>
  </si>
  <si>
    <t>Adult / DOB 20/06/2016</t>
  </si>
  <si>
    <t>Eye Removal and fractured jaw needing wires to stabilise. NexGard 12/10/2023. NexGard 28/02/2024</t>
  </si>
  <si>
    <t>972 274 001 578 911</t>
  </si>
  <si>
    <t>Severe damage to the hips. Came in as a stray via a MOP on 16/10/2023 into Allpets. Femoral Head Removal on LHS 17/10/2023. Milbemax 29/11/2023. Bravecto 27/12/2023</t>
  </si>
  <si>
    <t>Young Adult (1 yo)</t>
  </si>
  <si>
    <t>972 274 001 609 213</t>
  </si>
  <si>
    <t>Dun Eimear Stray Tabby Cat</t>
  </si>
  <si>
    <t>Bite wound injury to ear. Advocate and Milbemax 06/03/2024.</t>
  </si>
  <si>
    <t>DOB 18/10/2022</t>
  </si>
  <si>
    <t>Young Adult / DOB 18/10/2022</t>
  </si>
  <si>
    <t>Ciara Carrickmacross No.7 - Shopping Ctr Car Park - Kitten</t>
  </si>
  <si>
    <t>DOB 01/10/2023</t>
  </si>
  <si>
    <t>972 274 001 609 220</t>
  </si>
  <si>
    <t>12/02/2024 FIV/FELV -ve. MC at neuter. NexGard 12/02/2024</t>
  </si>
  <si>
    <t>Owner passed away. Vet to confirm that Otis is neutered. Originally stated as a Neutered Male.</t>
  </si>
  <si>
    <t>972 274 001 568 007</t>
  </si>
  <si>
    <t>Damaged Eye Removed. Passed away in WG. NexGard 23/01/2024</t>
  </si>
  <si>
    <t>972 274 001 578 234</t>
  </si>
  <si>
    <t>972 274 001 568 010</t>
  </si>
  <si>
    <t>26/01/2024
16/02/2024</t>
  </si>
  <si>
    <t>CH Kitten. NOTE: First MC could not be detected when Lando went in for castration therefore 2nd MC was implanted. NexGard 16/02/2024</t>
  </si>
  <si>
    <t>Ciara Carrickmacross No.5 - 'Tiffany'</t>
  </si>
  <si>
    <t>972 274 001 609 232</t>
  </si>
  <si>
    <t>Not tested for FIV/FELV. Sheila McElvoy to pay for neutering charges. Ear-Tipped. Milbemax 22/02/2023</t>
  </si>
  <si>
    <t>Surrender by owner due to dementia. Vaccines have lapsed and will need to be restarted. Milbemax 22/02/2024</t>
  </si>
  <si>
    <t>Ardee - Kells Road Stray Cat with braclet around neck - 'Mystic Fox'</t>
  </si>
  <si>
    <t>Came from 42 Beechwood Avenue, Marley's Lane, A92 KN6T, Nicola Brennan. NexGard Combo 22/12/2023 and NexGard Combo 28/02/2024</t>
  </si>
  <si>
    <t>Came from 42 Beechwood Avenue, Marley's Lane. A92 KN6T, Nicola Brennan. NexGard Combo 22/12/2023 and NexGard Combo 28/02/2024</t>
  </si>
  <si>
    <t>Came from 42 Beechwood Avenue, Marley's Lane, A92 KN65, Nicola Brennan. NexGard Combo 22/12/2023 and NexGard Combo 28/02/2024</t>
  </si>
  <si>
    <t>O'Meath Surrender1 - 'Sky'</t>
  </si>
  <si>
    <t>O'Meath Surrender2 - 'Prince'</t>
  </si>
  <si>
    <t>DOB 01/08/2019</t>
  </si>
  <si>
    <t>O'Meath Surrender3 - 'Benjamin'</t>
  </si>
  <si>
    <t>DOB Easter 2020</t>
  </si>
  <si>
    <t>O'Meath Surrender4 - 'Bluebell'</t>
  </si>
  <si>
    <t>Undescended testicle. NexGard (01/02/2023). Skin lesions not heaaling despite treatment with steroids. PTS at WG Drogheda. Requested skin biopsy to be done at affected sites.</t>
  </si>
  <si>
    <t>972 274 001 609 211</t>
  </si>
  <si>
    <t>Balbriggan MRSA B/W Surrender Cat</t>
  </si>
  <si>
    <t>8-Months Old</t>
  </si>
  <si>
    <t>O'Meath TNR Cat1 - Eye Removal</t>
  </si>
  <si>
    <t>Eye Removal at neutering. Ear Tip. Ears cleaned due to mites, and NexGard administered on 15/03/2024.</t>
  </si>
  <si>
    <t>NexGard at Neutering.</t>
  </si>
  <si>
    <t xml:space="preserve">Magdalene Street - Niamh TNR1 </t>
  </si>
  <si>
    <t>O'Meath TNR Cat2</t>
  </si>
  <si>
    <t>O'Meath TNR Cat3</t>
  </si>
  <si>
    <t>O'Meath TNR Cat4</t>
  </si>
  <si>
    <t>Clarice' via Lynda Hewitt</t>
  </si>
  <si>
    <t>972 274 001 497 571</t>
  </si>
  <si>
    <t>972 274 001 497 579</t>
  </si>
  <si>
    <t>DOB 01/04/2023</t>
  </si>
  <si>
    <t>Napoleon' - Centra Hardman's Gardens</t>
  </si>
  <si>
    <t>2+ Years of Age</t>
  </si>
  <si>
    <t>Cruella' - Yellowbatter3 DAR Cat Centre</t>
  </si>
  <si>
    <t>DOB 01/05/2021</t>
  </si>
  <si>
    <t>972 274 001 578 894</t>
  </si>
  <si>
    <t>972 274 001 578 929</t>
  </si>
  <si>
    <t>Cedarfield Mother - Kitten3 - Luna</t>
  </si>
  <si>
    <t>Belcotton</t>
  </si>
  <si>
    <t>RTA Victim. Very friendly cat. Jaw is dislocated and moved back into place. NexGard 28/01/2024 and 28/02/2024</t>
  </si>
  <si>
    <t>DOB 19/01/2023</t>
  </si>
  <si>
    <t>972 274 001 609 233</t>
  </si>
  <si>
    <t>Young Adult / DOB 12/10/2022</t>
  </si>
  <si>
    <t>972 274 001 609 228</t>
  </si>
  <si>
    <t>NexGard, Loxicom, Exocin Eye Drops for kittens (08/01/2024). Milbemax 22/02/2024 &amp; 20/03/2024</t>
  </si>
  <si>
    <t>972 274 001 596 186
972 274 001 568 001</t>
  </si>
  <si>
    <t>4-Months &amp; 29-days
(141-days)</t>
  </si>
  <si>
    <t>DOB 29/07/2023</t>
  </si>
  <si>
    <t>6-7 Months Old</t>
  </si>
  <si>
    <t>Milbemax and Advocate given on 20/02/2024</t>
  </si>
  <si>
    <t>DOB 03/08/2023</t>
  </si>
  <si>
    <t>DOB 01/09/2023</t>
  </si>
  <si>
    <t xml:space="preserve">Rose - Jeanine Pentony Shrewsbury Manor </t>
  </si>
  <si>
    <t>Rose - Jeanine Pentony Shrewsbury Manor - Kitten1 - 'Snowy'</t>
  </si>
  <si>
    <t>Funshog Cat1 - 'Ivory' - Holt</t>
  </si>
  <si>
    <t>Bettystown Anchorage Stray Cat</t>
  </si>
  <si>
    <t>4-Years of Age</t>
  </si>
  <si>
    <t>Given Stronghold and Milbemax on Intake Date 06/04/2024</t>
  </si>
  <si>
    <t>&lt; 6 Months</t>
  </si>
  <si>
    <t>NiCillin</t>
  </si>
  <si>
    <t>Ashley</t>
  </si>
  <si>
    <t>A92 FKC4</t>
  </si>
  <si>
    <t>083 166 4201</t>
  </si>
  <si>
    <t>A. NiCillin</t>
  </si>
  <si>
    <t>Dunleer National School Tabby Cat</t>
  </si>
  <si>
    <t xml:space="preserve">No microchip detected. Flank shaved so recently neutered. Small abrasions and nails worn. Most likely was tipped by a car. Very friendly. Slightly laboured breathing. </t>
  </si>
  <si>
    <t>No. 4 Saint Laurence's Drive Stray Cat</t>
  </si>
  <si>
    <t>Nancy McGuinness TullyAllen No.4</t>
  </si>
  <si>
    <t>Ear-Tipped. NexGard applied at neutering. No FIV/FELV testing.</t>
  </si>
  <si>
    <t>972 274 001 607 968</t>
  </si>
  <si>
    <t>Nancy McGuinness TullyAllen No.2</t>
  </si>
  <si>
    <t>Ear-Tipped. Not FIV/FELV tested.</t>
  </si>
  <si>
    <t>Nancy McGuinness TullyAllen No.3</t>
  </si>
  <si>
    <t>Ear-Tipped. Not FIV/FELV tested. NexGard applied at neutering.</t>
  </si>
  <si>
    <t>Nancy McGuinness TullyAllen No.5</t>
  </si>
  <si>
    <t>Ciara Carrickmacross No.6</t>
  </si>
  <si>
    <t>Galway Road Kitten - 'Gaillimh'</t>
  </si>
  <si>
    <t>DOB 26/03/2024</t>
  </si>
  <si>
    <t>DOB 03/04/2024</t>
  </si>
  <si>
    <t xml:space="preserve">Young Adult </t>
  </si>
  <si>
    <t>R. Harten</t>
  </si>
  <si>
    <t>Harten</t>
  </si>
  <si>
    <t>Robin</t>
  </si>
  <si>
    <t>Kentstown</t>
  </si>
  <si>
    <t>085 263 6568</t>
  </si>
  <si>
    <t>Bettystown Village Hotel Kitten 'Diesel'</t>
  </si>
  <si>
    <t>Suspect Liver Shunt</t>
  </si>
  <si>
    <t>DOB 17/01/2024</t>
  </si>
  <si>
    <t>DOB 12/04/2023</t>
  </si>
  <si>
    <t>Slane Cat - Liz Sears TNR</t>
  </si>
  <si>
    <t>Nancy McGuinness TullyAllen No.1</t>
  </si>
  <si>
    <t>1-Year of Age</t>
  </si>
  <si>
    <t>Dunleer Kitten Mother - Patricia Butterly - 'Butter'</t>
  </si>
  <si>
    <t>972 274 001 609 248</t>
  </si>
  <si>
    <t>Milbemax 26/02/2024.</t>
  </si>
  <si>
    <t>Tricat given on: 13/10/2023 and 22/11/2023. Also initially seen at Westgate Vets. NexGard 29/02/2024</t>
  </si>
  <si>
    <t>DOB 12/08/2024</t>
  </si>
  <si>
    <t>DOB 12/10/2022</t>
  </si>
  <si>
    <t>972 274 001 596 165</t>
  </si>
  <si>
    <t>2-3 Years Old</t>
  </si>
  <si>
    <t>972 274 001 596 181</t>
  </si>
  <si>
    <t>Has runny eye and diarrhoea. Moxiclear 08/03/2024</t>
  </si>
  <si>
    <t>FEMALE - INTACT</t>
  </si>
  <si>
    <t>MALE - INTACT</t>
  </si>
  <si>
    <t>Sunhill Cat - Anita</t>
  </si>
  <si>
    <t>Pregnant when neutered. Ear-Tipped. NexGard applied at neuter.</t>
  </si>
  <si>
    <t>Pregnant Female. Ear Tipped.</t>
  </si>
  <si>
    <t>Floating rib. Very friendly cat. Will be rehomed and not released as a TNR. NexGard given at neuter.</t>
  </si>
  <si>
    <t>Ciaran</t>
  </si>
  <si>
    <t>C15 W5D9</t>
  </si>
  <si>
    <t>083 485 7140</t>
  </si>
  <si>
    <t>Friendly community cat admitted with blood on mouth and fur. Has diarrhoea. Staying overnight x 3 for observation. Ear Tipped. Milbemax and Effipro administered.</t>
  </si>
  <si>
    <t>John Kirk Park Adult Cat - 69 John Kirk Emma Farrell</t>
  </si>
  <si>
    <t>Reported by Emma Farrell that this cat had been sneezing and losing weight.</t>
  </si>
  <si>
    <t>Sandpit Termonfeckin - TNR Cat</t>
  </si>
  <si>
    <t>Inga Ruibyte, No. 8 Cedarfield Close, Cedarfield, Drogheda, Co Meath, 086 051 4564.</t>
  </si>
  <si>
    <t xml:space="preserve"> 8 Cedarfield Close TNR1 (Pregnant)</t>
  </si>
  <si>
    <t>8 Cedarfield Close TNR2 (Pregnant)</t>
  </si>
  <si>
    <t>8 Cedarfield Close TNR3 (Pregnant)</t>
  </si>
  <si>
    <t>8 Cedarfield Close TNR4</t>
  </si>
  <si>
    <t>M1 Retail Park Abandoned Mother Cat</t>
  </si>
  <si>
    <t>M1 Retail Park Abandoned Mother Cat - Kitten1</t>
  </si>
  <si>
    <t>M1 Retail Park Abandoned Mother Cat - Kitten 2</t>
  </si>
  <si>
    <t>M1 Retail Park Abandoned Mother Cat - Kitten 3</t>
  </si>
  <si>
    <t xml:space="preserve">Avourwen Estate 5 The Beeches TNR </t>
  </si>
  <si>
    <t>REF: 5 The Beeches Avourwen Estate, Platin Road, Drogheda, Co Meath A92 NXN1 Jade Ni Chathain BA</t>
  </si>
  <si>
    <t>Harrington</t>
  </si>
  <si>
    <t>JJ</t>
  </si>
  <si>
    <t>Palace Street</t>
  </si>
  <si>
    <t>086 162 8961</t>
  </si>
  <si>
    <t>J. Harrington</t>
  </si>
  <si>
    <t>Found sealed in a cardboard box in the M1 Retail Park, Drogheda. NexGard on 01/05/2024. Surolan for ear mites.</t>
  </si>
  <si>
    <t>Ramparts Green - Tabby Mother - Kitten1</t>
  </si>
  <si>
    <t>Ramparts Green - Tabby Mother - Kitten2</t>
  </si>
  <si>
    <t>Ramparts Green - Tabby Mother - Kitten3</t>
  </si>
  <si>
    <t>Ramparts Green - Tabby Mother - Kitten4</t>
  </si>
  <si>
    <t>DOB 08/05/2024</t>
  </si>
  <si>
    <t>Nancy McGuinness TullyAllen - 'Nancy'</t>
  </si>
  <si>
    <t>972 274 001 568 008</t>
  </si>
  <si>
    <t>NexGard Applied on 23/05/2024. Growth on hind leg that is infected. This will be looked at in about 4-weeks time.</t>
  </si>
  <si>
    <t>Donegan's (Monasterboice Inn) - Black Stray Cat</t>
  </si>
  <si>
    <t>972 274 001 609 246</t>
  </si>
  <si>
    <t xml:space="preserve">972 274 001 214609 </t>
  </si>
  <si>
    <t>This cat was handed into Westgate by a member of the public citing it was very aggressive. The person who left it in was also very aggressive to WG and contradicted his story. Milbemax and Effipro administered on 09/03/2024. Microchipped at neuter. Persistent diarrhoea. NexGard 14/05/2024</t>
  </si>
  <si>
    <t>Case of MRSA on head and neck. Transferred case from Shenick in Balbriggan. Currently on long acting steroid, and Baytril antibiotics. See clinical notes transferred from Shenick Vets on 14/03/2024. No progress on skin condition. Drinking excessive amount of water. Best to be PTS as cat was suffering.</t>
  </si>
  <si>
    <t>Milbemax &amp; Advocate 26/01/2024. Hit by a car on 12/05/2024. Broken pelvis. PTS.</t>
  </si>
  <si>
    <t>Slane TNR Black Male - Liz Sears</t>
  </si>
  <si>
    <t>Riverdale Dunleer - Deformed Leg Kitten</t>
  </si>
  <si>
    <t>7-8 Weeks Old</t>
  </si>
  <si>
    <t xml:space="preserve">Hind leg has no power in it. It will be amputated at neutering. </t>
  </si>
  <si>
    <t>Brabazon Hall Termonfeckin - Cat with skin condition</t>
  </si>
  <si>
    <t>Found with human bracelet around neck and back was shaven. Received Advocate &amp; Milbemax on 09/02/2024. Milbemax 26/02/2024. Milbemax 20/03/2024</t>
  </si>
  <si>
    <t>DOB 10/05/2023</t>
  </si>
  <si>
    <t>DOB 17/11/2023</t>
  </si>
  <si>
    <t>O'Meath TNR - Raymond Elmore Cat1</t>
  </si>
  <si>
    <t>O'Meath TNR - Raymond Elmore Cat2</t>
  </si>
  <si>
    <t>O'Meath TNR - Raymond Elmore Cat3</t>
  </si>
  <si>
    <t>O'Meath TNR - Raymond Elmore Cat4</t>
  </si>
  <si>
    <t>Ardee Collon Road Stray Grey/White Kitten</t>
  </si>
  <si>
    <t>Worming Start Date 25/05/2024 Liquid Parazole. Friendly kitten.</t>
  </si>
  <si>
    <t>1 yr 4 Months</t>
  </si>
  <si>
    <t>Swords Stray Cat - 'Sorrel'</t>
  </si>
  <si>
    <t>DOB 22/03/2023</t>
  </si>
  <si>
    <t>NexGard applied on 15/04/2024. Long acting pain relief given at neutering. Advocate 27/05/2024</t>
  </si>
  <si>
    <t>Halpins Terrace Mother Cat - 'Bagira'</t>
  </si>
  <si>
    <t>Clogherhead O'Donnell Park - Young Mother Cat</t>
  </si>
  <si>
    <t>Collon Stray Mother Kitten1</t>
  </si>
  <si>
    <t>Collon Stray Mother Kitten2</t>
  </si>
  <si>
    <t>Collon Stray Mother Kitten3</t>
  </si>
  <si>
    <t>DOB 28/06/2024</t>
  </si>
  <si>
    <t>Seapoint Beach Termonfeckin Abandoned Kitten - Pixie</t>
  </si>
  <si>
    <t>DOB 11/08/2024</t>
  </si>
  <si>
    <t>972 274 001 609 212</t>
  </si>
  <si>
    <t>DOB 15/05/2023</t>
  </si>
  <si>
    <t>972 274 001 596 177</t>
  </si>
  <si>
    <t>Admitted to Allpets as an out of office emergency. Has a flea allergy as lumps of fur missing. DEAF. Bravecto and Milbemax Wormer administered on 15/05/2024.</t>
  </si>
  <si>
    <t>972 274 001 609 247</t>
  </si>
  <si>
    <t xml:space="preserve"> Milbemax 26/02/2024. NexGard Combo 08/06/2024</t>
  </si>
  <si>
    <t>NexGard 07/06/2024.</t>
  </si>
  <si>
    <t>972 274 001 644 268</t>
  </si>
  <si>
    <t>Milbemax 14/05/2024. NexGard 11/06/2024.</t>
  </si>
  <si>
    <t>4-Weeks
DOB 18/03/2024</t>
  </si>
  <si>
    <t>NexGard 05/06/2024</t>
  </si>
  <si>
    <t>Yellowbatter Ascal A Haon - Avenue 1 -Stray Kitten</t>
  </si>
  <si>
    <t>972 274 001 644 269</t>
  </si>
  <si>
    <t>NexGard applied on 26/04/2024 and Maxitrol Eye Drops for slightly infected eye (Right) - 26/04/2024. No MC detected. NexGard 14/05/2024. NexGard 11/06/2024</t>
  </si>
  <si>
    <t>St Finian's Park Pregnant Tabby -'Crunchie'</t>
  </si>
  <si>
    <t>DOB 04/03/2024</t>
  </si>
  <si>
    <t>DOB 18/03/2024</t>
  </si>
  <si>
    <t>972 274 001 609 234</t>
  </si>
  <si>
    <t>Came in with an infected eye. Friendly kitten. Put up on DAR FB L&amp;F Page. Milbemax 22/02/2024 and 20/03/2024. NexGard on 16/05/2024. Neutered in Westgate on 16/05/2024</t>
  </si>
  <si>
    <t>23 Moran's Tce, Drogheda Co Louth</t>
  </si>
  <si>
    <t>5-Weeks of Age</t>
  </si>
  <si>
    <t>F. Connor</t>
  </si>
  <si>
    <t>Found as a stray kitten in the garden of the house which is boarded up.</t>
  </si>
  <si>
    <t>7 Cearnog Brugha Drogheda - Injured Cat</t>
  </si>
  <si>
    <t>10+ Years of Age</t>
  </si>
  <si>
    <t>Admitted to WG. Bad infection, lungs not clear, possible broken pelvis, dehydrated. Based on presentation at the vet, body conditions, symptoms and age, it was deemed best to have the cat PTS.</t>
  </si>
  <si>
    <t>DOB 02/11/2023</t>
  </si>
  <si>
    <t>972 274 001 596 179</t>
  </si>
  <si>
    <t>972 274 001 617 788</t>
  </si>
  <si>
    <t>972 274 001 617 789</t>
  </si>
  <si>
    <t>972 274 001 617 787</t>
  </si>
  <si>
    <t>6-Weeks Old
DOB 14/03/2024</t>
  </si>
  <si>
    <t>DOB 06/04/2024</t>
  </si>
  <si>
    <t>Samantha Grimes Dundoo, Haynestown, Dundalk Kitten1</t>
  </si>
  <si>
    <t>Samantha Grimes Dundoo, Haynestown, Dundalk Kitten2</t>
  </si>
  <si>
    <t>Samantha Grimes Dundoo, Haynestown, Dundalk Kitten3</t>
  </si>
  <si>
    <t>Samantha Grimes Dundoo, Haynestown, Dundalk Kitten4</t>
  </si>
  <si>
    <t>DOB 16/04/2024</t>
  </si>
  <si>
    <t>DOB 22/04/2024</t>
  </si>
  <si>
    <t>Halpin Terrace Mother Cat - Kitten1</t>
  </si>
  <si>
    <t>Halpin Terrace Mother Cat - Kitten2</t>
  </si>
  <si>
    <t>Halpin Terrace Mother Cat - Kitten3</t>
  </si>
  <si>
    <t>Pearse Park Tabby Mother TNR</t>
  </si>
  <si>
    <t>Moorland Café Ginger Cat</t>
  </si>
  <si>
    <t>3-5 Years of Age</t>
  </si>
  <si>
    <t>N. Carney</t>
  </si>
  <si>
    <t>Bryanstown Manor TNR Kitten1</t>
  </si>
  <si>
    <t>Bryanstown Manor TNR Kitten2</t>
  </si>
  <si>
    <t>Bryanstown Manor TNR Kitten3</t>
  </si>
  <si>
    <t>Bryanstown Manor TNR Kitten4</t>
  </si>
  <si>
    <t>Knockbrack Downs Mother Cat - Julia</t>
  </si>
  <si>
    <t>DOB 24/05/2022</t>
  </si>
  <si>
    <t>04/06/2024 - Milbemax. 25/06/2024 - Liquid Parazole</t>
  </si>
  <si>
    <t>Knockbrack Downs Mother Cat - Kitten4 - Cheese Soufflé</t>
  </si>
  <si>
    <t>Knockbrack Downs Mother Cat - Kitten2 - Chocolate Mousse</t>
  </si>
  <si>
    <t>Knockbrack Downs Mother Cat - Kitten3 - Beefcake</t>
  </si>
  <si>
    <t>Bettystown Caravan Park TNR</t>
  </si>
  <si>
    <t>Milbemax &amp; Advocate 28/06/2024</t>
  </si>
  <si>
    <t>Aldi Cat Mell - Gato</t>
  </si>
  <si>
    <t>Adult 2 yo</t>
  </si>
  <si>
    <t>972 274 001 596 176</t>
  </si>
  <si>
    <t>The Quays, Drogheda Co Louth Kitten1</t>
  </si>
  <si>
    <t>The Quays, Drogheda Co Louth Kitten2</t>
  </si>
  <si>
    <t>3-4 Weeks Old</t>
  </si>
  <si>
    <t>Mother left behind at The Quays.</t>
  </si>
  <si>
    <t>Magdalene Street - Niamh TNR2</t>
  </si>
  <si>
    <t>Nexgard 20/03/2024. Eartipped.</t>
  </si>
  <si>
    <t>Magdalene Street - Niamh TNR3</t>
  </si>
  <si>
    <t>NexGard &amp; Eartipped 20/03/2024.</t>
  </si>
  <si>
    <t>Windmill Road TNR - Catriona</t>
  </si>
  <si>
    <t>Glenview Estate Drogheda Kitten1</t>
  </si>
  <si>
    <t>Glenview Estate Drogheda Kitten2</t>
  </si>
  <si>
    <t>Glenview Estate Drogheda Kitten3</t>
  </si>
  <si>
    <t>Glenview Estate Drogheda Mother</t>
  </si>
  <si>
    <t>Knockbrack Downs Mother Cat - Kitten1 - Quiche</t>
  </si>
  <si>
    <t>972 274 001 644 291</t>
  </si>
  <si>
    <t>John Johnson, The Old Road, Monasterboice Kitten1</t>
  </si>
  <si>
    <t>John Johnson, The Old Road, Monasterboice Kitten2</t>
  </si>
  <si>
    <t>Hetherington</t>
  </si>
  <si>
    <t>Lagavooren Manor</t>
  </si>
  <si>
    <t>086 411 0654</t>
  </si>
  <si>
    <t>N. Hetherington</t>
  </si>
  <si>
    <t>Had a ruptured eyeball and +ve for FIV, therefore PTS. REF: Aiva McCaul, ReadyPenny, Darver, Co Louth, A91 P996, 086 318 9756</t>
  </si>
  <si>
    <t>Skerries Mother Cat Kitten3</t>
  </si>
  <si>
    <t>Skerries Mother Cat Kitten1 - Basil</t>
  </si>
  <si>
    <t>972 274 001 223</t>
  </si>
  <si>
    <t>Milbemax 24/05/2024 &amp; Stronghold 24/05/2024</t>
  </si>
  <si>
    <t>Ramparts Green - Tabby Mother Lola - Frances Leslie</t>
  </si>
  <si>
    <t>No microchip detected. Cat's fur smells of engine oil. Wearing a pink cat collar w/bell when found. Advocate &amp; Milbemax 26/04/2024. Milbemax 24/05/2024. Advocate 02/07/2024</t>
  </si>
  <si>
    <t>Tinure Bog Road Kitten - 'Turf'</t>
  </si>
  <si>
    <t>972 274 001 596 173</t>
  </si>
  <si>
    <t>Brought in by a member of the public, Rebecca Wilkinson 12 O'Donnell Park 086 333 8015 on Saturday 01/06/2024 into Allpets. Was pregnant but all kittens were aborted. Milbemax given on 03/06/2024. Milbemax 26/06/2024. Admitted to hospital on Saturday June 29th due to lack of appetite and not eating. Tested positive for Parvo. Passed away late Saturday night in Allpets.</t>
  </si>
  <si>
    <t>972 274 001 568 004</t>
  </si>
  <si>
    <t>972 274 001 568 003</t>
  </si>
  <si>
    <t>Found sealed in a cardboard box in the M1 Retail Park, Drogheda. Milpro 01/05/2024. Milbemax 16/05/2024. Surolan for ear mites. NexGard 05/07/2024</t>
  </si>
  <si>
    <t>972 274 001 578 913</t>
  </si>
  <si>
    <t>Milbemax 10/10/2023. NexGard Combo 12/11/2023. NexGard Combo 06/07/2024</t>
  </si>
  <si>
    <t>Highfield Mammy - Kitten 2 - 'Bulbasaur'</t>
  </si>
  <si>
    <t>Browne</t>
  </si>
  <si>
    <t>087 688 7501</t>
  </si>
  <si>
    <t>A92 Y9NY</t>
  </si>
  <si>
    <t>N. Browne</t>
  </si>
  <si>
    <t>Riverbank Ditch Kitten3 - River</t>
  </si>
  <si>
    <t>DOB 07/09/2024</t>
  </si>
  <si>
    <t>972 274 001 596 182</t>
  </si>
  <si>
    <t>972 274 001 596 184</t>
  </si>
  <si>
    <t>Liquid Parazole April 24th, 2024 (3days), Liquid Parazole May 09th, 2024 (3days), Milbemax 11/06/2024 &amp; 01/07/2024</t>
  </si>
  <si>
    <t>NexGard 05/06/2024. NexGard 12/07/2024.</t>
  </si>
  <si>
    <t>972 274 001 568 142</t>
  </si>
  <si>
    <t>DOB 14/03/2024</t>
  </si>
  <si>
    <t>Ferdia Park Ardee Mother Cat - Kitten2 - Mister</t>
  </si>
  <si>
    <t>Ferdia Park Ardee Mother Cat - Kitten1 - Boo</t>
  </si>
  <si>
    <t>Ferdia Park Ardee Mother Cat - Betsey</t>
  </si>
  <si>
    <t>Morans Terrace - No 23 Vacant House - Kitten</t>
  </si>
  <si>
    <t>Skerries Mother Cat Kitten2 - Cinnamon</t>
  </si>
  <si>
    <t>Cardy Rock Balbriggan Abandoned Kitten1</t>
  </si>
  <si>
    <t>Cardy Rock Balbriggan Abandoned Kitten2</t>
  </si>
  <si>
    <t>Bravecto Plus. Ear Mites 16/07/2024</t>
  </si>
  <si>
    <t>Magdalene Street - Kitten3 - Ace</t>
  </si>
  <si>
    <t>972 274 001 609 250</t>
  </si>
  <si>
    <t>Stronghold 19/06/2024.</t>
  </si>
  <si>
    <t>DOB 01/04/2024</t>
  </si>
  <si>
    <t xml:space="preserve">Magdalene Street - Kitten2 - </t>
  </si>
  <si>
    <t>Magdalene Street - Kitten1 - Jet</t>
  </si>
  <si>
    <t>972 274 001 609 225</t>
  </si>
  <si>
    <t>Marley Lane Kitten - Willow</t>
  </si>
  <si>
    <t>972 274 001 618 004</t>
  </si>
  <si>
    <t>Milbemax 06/06/2024. Advocate 29/06/2024.</t>
  </si>
  <si>
    <t>DOB 09/03/2024</t>
  </si>
  <si>
    <t>972 274 001 609 223</t>
  </si>
  <si>
    <t>6-Weeks
DOB 07/01/2023</t>
  </si>
  <si>
    <t>DOB 07/01/2023</t>
  </si>
  <si>
    <t>Admitted to WG due to diorrheoa on 11/07/2023 (Westgate). 14/07/2023 (Milbemax WG). Milbemax 22/11/2023. Advocate 22/11/2023. RETURNED TO DAR 29/12/2023 as Woodie was not working out with new owner. NexGard 10/04/2024.</t>
  </si>
  <si>
    <t>Received NexGard on 07/03/2024. Advocate 17/07/2024 and Milbemax 17/07/2024</t>
  </si>
  <si>
    <t>Priorstown, Termonfeckin - Sheila McElvoy - TNR Kitten1</t>
  </si>
  <si>
    <t>Priorstown, Termonfeckin - Sheila McElvoy - TNR Kitten2</t>
  </si>
  <si>
    <t>972 274 001 609 226</t>
  </si>
  <si>
    <t>21/03/2024 Milbemax.</t>
  </si>
  <si>
    <t>Rathmullen Road Stray - Rory Halpin Kitten1</t>
  </si>
  <si>
    <t>Rathmullen Road Stray - Rory Halpin Kitten2</t>
  </si>
  <si>
    <t>Rathmullen Road Stray - Rory Halpin Kitten3</t>
  </si>
  <si>
    <t>972 274 001 644 278</t>
  </si>
  <si>
    <t>972 274 001 644 261</t>
  </si>
  <si>
    <t>972 274 001 644 266</t>
  </si>
  <si>
    <t>DOB 30/10/2023</t>
  </si>
  <si>
    <t>St Finian's Park - Stray Kitten - Apostrophe</t>
  </si>
  <si>
    <t>972 274 001 568 005</t>
  </si>
  <si>
    <t>Rathmullan Park White Deaf Cat with Flea Allergy</t>
  </si>
  <si>
    <t>Milbemax 06/07/2023. 12/08/2023 Stronghold + diagnosed with Ringworm. 29/08/2023 Milbemax</t>
  </si>
  <si>
    <t>Cedarfield Mother - Kitten2 - Fish</t>
  </si>
  <si>
    <t>972 274 001 578 930</t>
  </si>
  <si>
    <t>04/07/2023 Milbemax. 29/07/2023 Milbemax. 12/08/2023 Diagnosed with Ring Worm.</t>
  </si>
  <si>
    <t>DOB 26/04/2023</t>
  </si>
  <si>
    <t>4-Weeks
DOB 26/04/2023</t>
  </si>
  <si>
    <t>Regina Smith - TNR</t>
  </si>
  <si>
    <t>NexGard 05/03/2024</t>
  </si>
  <si>
    <t>Margaret Murphy - TNR</t>
  </si>
  <si>
    <t>Castlebellingham RTA</t>
  </si>
  <si>
    <t>Diane Egar TNR</t>
  </si>
  <si>
    <t>Skerries Mother Cat - Mathilda</t>
  </si>
  <si>
    <t>Adult (Pregnant)</t>
  </si>
  <si>
    <t>Belcotton Termonfeckin TNR - Gillian Hodgins</t>
  </si>
  <si>
    <t>NexGard 22/03/2024</t>
  </si>
  <si>
    <t>NexGard 29/03/2024</t>
  </si>
  <si>
    <t>North Quays Kitten1</t>
  </si>
  <si>
    <t>North Quays Kitten2</t>
  </si>
  <si>
    <t>Regina Smith Julianstown - TNR</t>
  </si>
  <si>
    <t>NexGard 04/04/2024. Eartipped.</t>
  </si>
  <si>
    <t>NexGard 05/04/2024. Eartipped.</t>
  </si>
  <si>
    <t>Belcotton Termonfeckin TNR - Geraldine Meegan</t>
  </si>
  <si>
    <t>Eartipped. Cat has 3-legs. No NexGard. Heavily pregnant when neutered.</t>
  </si>
  <si>
    <t>NexGard 09/04/2024. Eartipped.</t>
  </si>
  <si>
    <t>NexGard 17/04/2024</t>
  </si>
  <si>
    <t xml:space="preserve">4-5 Months </t>
  </si>
  <si>
    <t>Not FIV/FELV Tested</t>
  </si>
  <si>
    <t>Cocklehill Blackrock Co Louth TNR1</t>
  </si>
  <si>
    <t>Cocklehill Blackrock Co Louth TNR2</t>
  </si>
  <si>
    <t>Not tested for FIV/FELV</t>
  </si>
  <si>
    <t>Cocklehill Blackrock Co Louth TNR3</t>
  </si>
  <si>
    <t>NexGard 19/04/2024</t>
  </si>
  <si>
    <t>Cocklehill Blackrock Co Louth TNR4</t>
  </si>
  <si>
    <t>NexGard 26/04/2024</t>
  </si>
  <si>
    <t>Dysart Togher Cat TNR - Paddy McGuire</t>
  </si>
  <si>
    <t>Cocklehill Blackrock Co Louth TNR5</t>
  </si>
  <si>
    <t>Not tested FIV/FELV</t>
  </si>
  <si>
    <t>Cat came in with a broken tail.</t>
  </si>
  <si>
    <t>Lungs were very bad. PTS.</t>
  </si>
  <si>
    <t>Collon Road to Ardee - Abandoned Kitten - Kirsty Blue</t>
  </si>
  <si>
    <t>4-Weeks Old</t>
  </si>
  <si>
    <t>Riverbank Dunleer Kitten - Carly Luke</t>
  </si>
  <si>
    <t>Milbemax, Stronghold 24/05/2024</t>
  </si>
  <si>
    <t>Surrendered Cat Knockbrack Downs - Lucky</t>
  </si>
  <si>
    <t>DOB 27/03/2024</t>
  </si>
  <si>
    <t>28/032024</t>
  </si>
  <si>
    <t>Fleas present. Bravecto &amp; Milbemax 28/03/2024. Suffered head trauma as a kitten as owner stepped on its head.</t>
  </si>
  <si>
    <t>972 274 001 611 067</t>
  </si>
  <si>
    <t>Marley Lane Kitten1 - Willow</t>
  </si>
  <si>
    <t xml:space="preserve">Marley's Lane Kitten2 </t>
  </si>
  <si>
    <t xml:space="preserve">Marley's Lane Kitten3 </t>
  </si>
  <si>
    <t>Marley's Lane Kitten4</t>
  </si>
  <si>
    <t xml:space="preserve">Milbemax 06/06/2024 </t>
  </si>
  <si>
    <t>Milbemax 06/06/2024</t>
  </si>
  <si>
    <t>Mario's Chipper Ardee - Feral Kitten1</t>
  </si>
  <si>
    <t>Mario's Chipper Ardee - Feral Kitten2</t>
  </si>
  <si>
    <t>Mario's Chipper Ardee - Feral Kitten3</t>
  </si>
  <si>
    <t>Milbemax and Advocate 27/06/2024. Milbemax 17/07/2024</t>
  </si>
  <si>
    <t>Hayley Lorraine</t>
  </si>
  <si>
    <t>Young-Campbell</t>
  </si>
  <si>
    <t>44 Carlinn Court</t>
  </si>
  <si>
    <t>A91 HW73</t>
  </si>
  <si>
    <t>085 243 0843</t>
  </si>
  <si>
    <t>Handed into O'Dowd's Vet on 24/05/2024 by two young boys. Milbemax and Stronghold 25/05/2024. Contracted Cat Flu.</t>
  </si>
  <si>
    <t>Cat Flu upon intake.</t>
  </si>
  <si>
    <t>Karen Mario Ardee TNR</t>
  </si>
  <si>
    <t>Monasterboice Inn TNR</t>
  </si>
  <si>
    <t>Moneymore Sherborne TNR</t>
  </si>
  <si>
    <t>NexGard 18/06/2024</t>
  </si>
  <si>
    <t>Bellewstown Golf Club Kitten</t>
  </si>
  <si>
    <t>Has Conjunctivitis and given Maxitrol Eye Drops. Milbemax 10/07/2024</t>
  </si>
  <si>
    <t>Stonehouse Gaulstown Road Dunleer Kitten1</t>
  </si>
  <si>
    <t>Stonehouse Gaulstown Road Dunleer Kitten2</t>
  </si>
  <si>
    <t>Stonehouse Gaulstown Road Dunleer Kitten3</t>
  </si>
  <si>
    <t>Darver Ready Penny - McCaul Ginger Cat TNR</t>
  </si>
  <si>
    <t>Milbemax &amp; Advocate 31/05/2024. Previously neutered.</t>
  </si>
  <si>
    <t>2- Years Old</t>
  </si>
  <si>
    <t>Louth County Council Fair Street Kitten1</t>
  </si>
  <si>
    <t>Louth County Council Fair Street Kitten2</t>
  </si>
  <si>
    <t>Louth County Council Fair Street Kitten3</t>
  </si>
  <si>
    <t>5-6 Weeks</t>
  </si>
  <si>
    <t>Yellowbatter TNR</t>
  </si>
  <si>
    <t>Glenmore Drive TNR</t>
  </si>
  <si>
    <t>9-Weeks Old</t>
  </si>
  <si>
    <t>Yellowbatter Ascal A Haon - Avenue 1 - TNR</t>
  </si>
  <si>
    <t>8-Weeks Old</t>
  </si>
  <si>
    <t>Ballymakenny Road - Egg Farm Kitten - Kathyrn - Doris</t>
  </si>
  <si>
    <t>Dundalk - Jessica The Arch Bachelor Walk Kitten1</t>
  </si>
  <si>
    <t>Dundalk - Jessica The Arch Bachelor Walk Kitten2</t>
  </si>
  <si>
    <t>Dundalk - Jessica The Arch Bachelor Walk Kitten3</t>
  </si>
  <si>
    <t>Dundalk - Jessica The Arch Bachelor Walk Kitten4</t>
  </si>
  <si>
    <t>Dundalk - Jessica The Arch Bachelor Walk Kitten5</t>
  </si>
  <si>
    <t>Collon Kittens - Sinead Coyne - Kitten1</t>
  </si>
  <si>
    <t>Elvis - Andrius Surrender</t>
  </si>
  <si>
    <t>Collon Kittens - Sinead Coyne - Kitten2</t>
  </si>
  <si>
    <t>Collon Kittens - Sinead Coyne - Kitten3</t>
  </si>
  <si>
    <t>DOB 27/05/2024</t>
  </si>
  <si>
    <t>McMahon</t>
  </si>
  <si>
    <t>Eimear</t>
  </si>
  <si>
    <t>Leonsgarve</t>
  </si>
  <si>
    <t>A81 K407</t>
  </si>
  <si>
    <t>087 953 2764</t>
  </si>
  <si>
    <t>E. McMahon</t>
  </si>
  <si>
    <t>7 Regent Place, Drogheda Mother Cat</t>
  </si>
  <si>
    <t>7 Regent Place, Drogheda Kitten1</t>
  </si>
  <si>
    <t>7 Regent Place, Drogheda Kitten2</t>
  </si>
  <si>
    <t>7 Regent Place, Drogheda Kitten3</t>
  </si>
  <si>
    <t>DOB 24/04/2024</t>
  </si>
  <si>
    <t>Stewart</t>
  </si>
  <si>
    <t>Laura</t>
  </si>
  <si>
    <t>7 Regent Place</t>
  </si>
  <si>
    <t>086 057 5534</t>
  </si>
  <si>
    <t>L. Stewart</t>
  </si>
  <si>
    <t>FARNEY VETS</t>
  </si>
  <si>
    <t>Carrickmacross Co Monaghan - Eimear Kitten</t>
  </si>
  <si>
    <t>9-10 Weeks Old</t>
  </si>
  <si>
    <t>8-10 Weeks Old</t>
  </si>
  <si>
    <t>Mornington Stray Kitten - Fleurie</t>
  </si>
  <si>
    <t>Athcarne, Duleek - Sinead Lynch TNR2</t>
  </si>
  <si>
    <t>Bryanstown Manor, Drogheda - Shane - TNR1</t>
  </si>
  <si>
    <t>Bryanstown Manor, Drogheda - Shane - TNR2</t>
  </si>
  <si>
    <t>Barbie - Rachel Rooney</t>
  </si>
  <si>
    <t>NexGard Combo. Milbemax &amp; Advocate 14/02/2024.</t>
  </si>
  <si>
    <t>NexGard Combo . Milbemax &amp; Advocate 14/02/2024</t>
  </si>
  <si>
    <t>Almondstown TNR</t>
  </si>
  <si>
    <t>Linda Campbell Dundalk TNR</t>
  </si>
  <si>
    <t>Diane Egar - Kilsaran TNR</t>
  </si>
  <si>
    <t>Niall Carney TNR</t>
  </si>
  <si>
    <t>Niall Carney Marian Park TNR Job - Cat4</t>
  </si>
  <si>
    <t>Mornington Beach Road - Abandoned Kitten1</t>
  </si>
  <si>
    <t>Mornington Beach Road - Abandoned Kitten2</t>
  </si>
  <si>
    <t>Louth County Council Fair Street Kitten4 - TNR</t>
  </si>
  <si>
    <t>Louth County Council Fair Street Kitten6 - TNR</t>
  </si>
  <si>
    <t>Louth County Council Fair Street Kitten7 - TNR</t>
  </si>
  <si>
    <t>Louth County Council Fair Street Kitten5 - TNR</t>
  </si>
  <si>
    <t>Twenties New Road Stray Kitten - Grace</t>
  </si>
  <si>
    <t>Carrickmacross Co Monaghan - Eimear Kitten2</t>
  </si>
  <si>
    <t>Carrickmacross Co Monaghan - Eimear Kitten3</t>
  </si>
  <si>
    <t>Carrickmacross Co Monaghan - Eimear Kitten5</t>
  </si>
  <si>
    <t>Carrickmacross Co Monaghan - Eimear Kitten4</t>
  </si>
  <si>
    <t>972 274 001 568 002</t>
  </si>
  <si>
    <t>NexGard 05/06/2024. NexGard 27/07/2024</t>
  </si>
  <si>
    <t>972 274 001 578 926</t>
  </si>
  <si>
    <t>Tredagh View, Marley's Lane TNR - 21/22 Tredagh View</t>
  </si>
  <si>
    <t>4-Weeks
26/04/2023
DOB 26/04/2023</t>
  </si>
  <si>
    <t>25/06/2024 Milbemax. 28/07/2024 NexGard</t>
  </si>
  <si>
    <t>972 274 001 644 267</t>
  </si>
  <si>
    <t>972 274 001 644 264</t>
  </si>
  <si>
    <t>972 274 001 644 263</t>
  </si>
  <si>
    <t>972 274 001 644 265</t>
  </si>
  <si>
    <t>PTS. Parvovirus.</t>
  </si>
  <si>
    <t>Grangebellew TNR Job - Andrew Keegan Cat1</t>
  </si>
  <si>
    <t>Grangebellew TNR Job - Andrew Keegan Cat2</t>
  </si>
  <si>
    <t>OMeath TNR Job - Cat1</t>
  </si>
  <si>
    <t>OMeath TNR Job - Cat2</t>
  </si>
  <si>
    <t>OMeath TNR Job - Cat3</t>
  </si>
  <si>
    <t>Grangebellew TNR Job - Andrew Keegan Cat3</t>
  </si>
  <si>
    <t>Eartipped and Wormed.</t>
  </si>
  <si>
    <t>Fieldstown TNR Job - Catherine Byrne</t>
  </si>
  <si>
    <t>Garristown Co Dublin - Nearby Petrol Station - Kitten1</t>
  </si>
  <si>
    <t>Garristown Co Dublin - Nearby Petrol Station - Kitten2</t>
  </si>
  <si>
    <t>Garristown Co Dublin - Nearby Petrol Station - Kitten3</t>
  </si>
  <si>
    <t>Garristown Co Dublin - Nearby Petrol Station - Kitten4</t>
  </si>
  <si>
    <t>6-Weeks of Age</t>
  </si>
  <si>
    <t>MONAGHAN</t>
  </si>
  <si>
    <t>DATE INTO DAR
DD/MM/YYYY</t>
  </si>
  <si>
    <t>DATE OUT OF DAR
DD/MM/YYYY</t>
  </si>
  <si>
    <t>SEX</t>
  </si>
  <si>
    <t>972 274 001 644 300</t>
  </si>
  <si>
    <t>04/04/2024 - Liquid Parazole &amp; Stronghold. 04/06/2024 - Bravecto Plus. 25/06/2024 - Liquid Parazole. Bravecto Plus 04/06/2024</t>
  </si>
  <si>
    <t>Dawson Demense TNR Ginger</t>
  </si>
  <si>
    <t>Dawson Demense TNR Calico</t>
  </si>
  <si>
    <t>9-Weeks Old
DOB 04/05/2024</t>
  </si>
  <si>
    <t>NexGard 28/06/2024 and 30/07/2024</t>
  </si>
  <si>
    <t>DOB 27/04/2024</t>
  </si>
  <si>
    <t>972 274 001 609 227</t>
  </si>
  <si>
    <t>Fagan</t>
  </si>
  <si>
    <t>Amy</t>
  </si>
  <si>
    <t>086 879 5738</t>
  </si>
  <si>
    <t>A. Fagan</t>
  </si>
  <si>
    <t>Athboy N51 Stray Kitten</t>
  </si>
  <si>
    <t>RTA Inured Eye Cat - 'Marbles'</t>
  </si>
  <si>
    <t>Surrender from owner due to inability to pay veterinary costs for eye removal.</t>
  </si>
  <si>
    <t>Dunleer Kitten2 - Patricia Butterly - Kitten1 - 'Toffee'</t>
  </si>
  <si>
    <t>972 274 001 644 277</t>
  </si>
  <si>
    <t>NexGard Kitten Combo 11/08/2024</t>
  </si>
  <si>
    <t>972 274 001 644 276</t>
  </si>
  <si>
    <t>18/05/2024 Milbemax. 07/06/2024 Milbemax. 06/08/2024 NexGard Kitten Combo</t>
  </si>
  <si>
    <t>Samantha Grimes Dundoo, Haynestown, Dundalk Kitten1A</t>
  </si>
  <si>
    <t>Samantha Grimes Dundoo, Haynestown, Dundalk Kitten2A</t>
  </si>
  <si>
    <t>Samantha Grimes Dundoo, Haynestown, Dundalk Kitten3A</t>
  </si>
  <si>
    <t>Samantha Grimes Dundoo, Haynestown, Dundalk Kitten4A</t>
  </si>
  <si>
    <t>This cat was originally found in early May 2024 in the Ardee Business Park. Previously neutered. 
No owner has come forward for him so DAR will get him vaccinated and microchipped, and seek a new home for him.</t>
  </si>
  <si>
    <t>Ardee Business Park Stray Cat</t>
  </si>
  <si>
    <t>Magdalena</t>
  </si>
  <si>
    <t>Julia Gie</t>
  </si>
  <si>
    <t>Ardee</t>
  </si>
  <si>
    <t>A92 Y6RE</t>
  </si>
  <si>
    <t>House Number 7</t>
  </si>
  <si>
    <t>M. Julia Gie</t>
  </si>
  <si>
    <t>DOB 06/05/2024</t>
  </si>
  <si>
    <t>28/06/2024 Milbemax. NexGard 02 Aug 2024.Found by Rory Halpin in his garden 087 649 1661</t>
  </si>
  <si>
    <t>28/06/2024 Milbemax. NexGard 02/08/2024. Found by Rory Halpin in his garden 087 649 1661</t>
  </si>
  <si>
    <t>28/06/2024 Milbemax. NexGard 02 Aug 2024. Found by Rory Halpin in his garden 087 649 1661</t>
  </si>
  <si>
    <t>Older male Tom Cat involved in an RTA.</t>
  </si>
  <si>
    <t>RTA Dunleer Across from Spar Shop</t>
  </si>
  <si>
    <t>Kells Riverside Estate - Stray Kitten - Sean Clinton</t>
  </si>
  <si>
    <t>972 274 001 644 256</t>
  </si>
  <si>
    <t>Milbemax 08/07/2024, 22/07/2024, and NexGard Kitten Combo 18/08/2024</t>
  </si>
  <si>
    <t>DOB 01/05/2024</t>
  </si>
  <si>
    <t>Worm &amp; Flea Treatment 15/07/2024. Worm &amp; Flea Treatment 12/08/2024 (Milbemax &amp; Stronghold)</t>
  </si>
  <si>
    <t>972 274 001 621 057</t>
  </si>
  <si>
    <t>Worm &amp; Flea Treatment 15/07/2024. Has Cat Flu.</t>
  </si>
  <si>
    <t>972 274 001 621 054</t>
  </si>
  <si>
    <t>972 274 001 621 052
972 274 001 647 854</t>
  </si>
  <si>
    <t>12/08/2024
19/08/2024</t>
  </si>
  <si>
    <t>DOB 23/04/2024</t>
  </si>
  <si>
    <t>DOB 04/05/2024</t>
  </si>
  <si>
    <t>972 274 001 621 060</t>
  </si>
  <si>
    <t>Worm &amp; Flea Treatment 15/07/2024. Worm &amp; Flea Treatment 12/08/2024, NexGard Combo 05 Aug 2024</t>
  </si>
  <si>
    <t>28/06/2024 Milbemax. Found by Rory Halpin in his garden 087 649 1661. NexGard 02/08/2024</t>
  </si>
  <si>
    <t>Triple House Injured Kitten - Terry</t>
  </si>
  <si>
    <t>No microchip detected. Trauma to the right front leg. NexGard applied due to fleas.</t>
  </si>
  <si>
    <t>972 274 001 644 251</t>
  </si>
  <si>
    <t>Milbemax 08/07/2024, 22/07/2024, and NexGard Kitten Combo 22/08/2024</t>
  </si>
  <si>
    <t>972 274 001 609 229</t>
  </si>
  <si>
    <t>Surrender from owner. Has conjunctivits. Milbemax 22/02/2024, 20/03/2024, and 14/05/2024. Neutered at Westgate Veterinary Hospital.</t>
  </si>
  <si>
    <t>Ardee Abandoned Box Kittens - Kitten1</t>
  </si>
  <si>
    <t>Found Glen Kitten - Yellowbatter, Glenview Areas</t>
  </si>
  <si>
    <t>Handed into Westgate Vets.</t>
  </si>
  <si>
    <t>Kentstown Bottle Feeder via Allpets</t>
  </si>
  <si>
    <t>2-Days</t>
  </si>
  <si>
    <t>Clogherhead Gort Una Tabby &amp; White Mother Cat - Mimi</t>
  </si>
  <si>
    <t>972 274 001 578 910</t>
  </si>
  <si>
    <t>Clogherhead Gort Una Tabby &amp; White Mother Cat Kitten3 - Smokey</t>
  </si>
  <si>
    <t>Clogherhead Gort Una Tabby &amp; White Mother Cat Kitten5 - Poppy</t>
  </si>
  <si>
    <t>972 274 001 578 928</t>
  </si>
  <si>
    <t>972 274 001 578 923</t>
  </si>
  <si>
    <t>972 274 001 578 924</t>
  </si>
  <si>
    <t>Clogherhead Gort Una Tabby &amp; White Mother Cat Kitten4 - Ginger</t>
  </si>
  <si>
    <t>DOB 07/06/2023</t>
  </si>
  <si>
    <t>Ardee Abandoned Box Kittens - Kitten2</t>
  </si>
  <si>
    <t>Ardee Abandoned Box Kittens - Kitten3</t>
  </si>
  <si>
    <t>Ardee Abandoned Box Kittens - Kitten4</t>
  </si>
  <si>
    <t>Ardee Abandoned Box Kittens - Kitten5</t>
  </si>
  <si>
    <t>Worm &amp; Flea Treatment 15/07/2024. Milbemax &amp; Stronghold on 12/08/2024</t>
  </si>
  <si>
    <t>Kitten NexGard Combo 03/09/2024</t>
  </si>
  <si>
    <t>Dundalk Surrender Kitten1 - Dilute Calico</t>
  </si>
  <si>
    <t>Dundalk Surrender Kitten2 - Calico</t>
  </si>
  <si>
    <t>972 274 001 644 279</t>
  </si>
  <si>
    <t>NexGard 23/07/2024. Neutered at O'Dowd Veterinary Hospital Ardee Co Louth</t>
  </si>
  <si>
    <t>972 274 001 644 280</t>
  </si>
  <si>
    <t>Balrath Kitten</t>
  </si>
  <si>
    <t>Matt Corrigan - Kitten1</t>
  </si>
  <si>
    <t>Matt Corrigan - Kitten2</t>
  </si>
  <si>
    <t>Matt Corrigan - Kitten3</t>
  </si>
  <si>
    <t>Carrickmacross Road - Ardee Co Louth Kitten</t>
  </si>
  <si>
    <t>RTA Tabby Female - Surrender</t>
  </si>
  <si>
    <t>&lt; 1-Year</t>
  </si>
  <si>
    <t>Orthopaedic Surgery - Broken Leg</t>
  </si>
  <si>
    <t>Oldbridge - Donore Road - Sylvester Kitten</t>
  </si>
  <si>
    <t>Tully Allen to Slane Road Kitten1 - Lucy's Road</t>
  </si>
  <si>
    <t>Tully Allen to Slane Road Kitten2 - Lucy's Road</t>
  </si>
  <si>
    <t>7-Weeks Old
DOB 20/05/2024</t>
  </si>
  <si>
    <t xml:space="preserve">Pearse Park Mother </t>
  </si>
  <si>
    <t xml:space="preserve">Pearse Park Mother Kitten1 </t>
  </si>
  <si>
    <t xml:space="preserve">Pearse Park Mother Kitten2 </t>
  </si>
  <si>
    <t xml:space="preserve">Pearse Park Mother Kitten3 </t>
  </si>
  <si>
    <t>Louth County Council Fair Street Kitten8 - TNR</t>
  </si>
  <si>
    <t>04/07/2024 - Advocate and Milbemax Wormer. Ear-Tipped.</t>
  </si>
  <si>
    <t>Glenmore Drive - Mother Cat Kitten1 - Tom Moore</t>
  </si>
  <si>
    <t>Glenmore Drive Mother Cat Kitten2 - Tom Moore</t>
  </si>
  <si>
    <t>Glenmore Drive Mother Cat Kitten3- Tom Moore</t>
  </si>
  <si>
    <t>Glenmore Drive - Mother Cat - Tom Moore</t>
  </si>
  <si>
    <t>DOB 02/05/2024</t>
  </si>
  <si>
    <t>Glenmore Drive Mother Cat Kitten4 - Tom Moore</t>
  </si>
  <si>
    <t>Clogherhead - The Beeches Kitten</t>
  </si>
  <si>
    <t>7-10 Weeks</t>
  </si>
  <si>
    <t>972 274 001 621 059</t>
  </si>
  <si>
    <t>Severely dehyrdated weighing 2.6-Kg on intact. Temp 36C. Scars from fighting. Skin &amp; Bones. Advocate 16/06/2024. Milbemax 10/07/2024. Bravecto 28/08/2024.</t>
  </si>
  <si>
    <t>10-12 Weeks
DOB 07/05/2024</t>
  </si>
  <si>
    <t>Greenore Feral Mother Cat</t>
  </si>
  <si>
    <t>Greenore Feral Mother Cat Kitten1</t>
  </si>
  <si>
    <t>Greenore Feral Mother Cat Kitten2</t>
  </si>
  <si>
    <t>Greenore Feral Mother Cat Kitten3</t>
  </si>
  <si>
    <t>Greenore Feral Mother Cat Kitten4</t>
  </si>
  <si>
    <t>Has Cat Flu.</t>
  </si>
  <si>
    <t>24/072024</t>
  </si>
  <si>
    <t>972 274 001 647 834</t>
  </si>
  <si>
    <t>NexGard Kitten Combo 01/07/2024 and 24/07/2024</t>
  </si>
  <si>
    <t>Daisy - Co Offaly</t>
  </si>
  <si>
    <t>Boots - Co Offaly</t>
  </si>
  <si>
    <t>Rehomed directly from owner to new home in Carlingford via DAR.</t>
  </si>
  <si>
    <t>1- Year of Age</t>
  </si>
  <si>
    <t>DOB 30/04/2023</t>
  </si>
  <si>
    <t>DOB 16/05/2022</t>
  </si>
  <si>
    <t>972 274 001 596 183</t>
  </si>
  <si>
    <t>Ferdia Park Ardee Mother Cat - Kitten3 - Sky</t>
  </si>
  <si>
    <t>Ferdia Park Ardee Mother Cat - Kitten4 - Frosty</t>
  </si>
  <si>
    <t>DOB 20/05/2024</t>
  </si>
  <si>
    <t xml:space="preserve"> </t>
  </si>
  <si>
    <t>NexGard Kitten Combo 03/07/2024 and 07/09/2024</t>
  </si>
  <si>
    <t>972 274 001 644 299</t>
  </si>
  <si>
    <t>04/06/2024 - Milbemax. 25/06/2024 - Liquid Parazole. 11/09/2024 Milbemax</t>
  </si>
  <si>
    <t>8-Weeks
DOB 19/04/2024</t>
  </si>
  <si>
    <t xml:space="preserve">7 Regent Place, Drogheda Kitten1 </t>
  </si>
  <si>
    <t>Glenmore Drive Mother Cat Kitten2 - Tom Moore - Princess</t>
  </si>
  <si>
    <t>972 274 001 647 837</t>
  </si>
  <si>
    <t>972 274 001 647 831</t>
  </si>
  <si>
    <t>Glenmore Drive Mother Cat Kitten3 - Tom Moore</t>
  </si>
  <si>
    <t>Milbemax 12/07/2024. NexGard Kitten Combo 14/09/2024</t>
  </si>
  <si>
    <t>972 274 001 647 843</t>
  </si>
  <si>
    <t>972 274 001 647 842</t>
  </si>
  <si>
    <t>972 274 001 647 844</t>
  </si>
  <si>
    <t>Came into the care of DAR heavily pregnant. Milbemax 12/07/2024 and 06/08/2024</t>
  </si>
  <si>
    <t>DOB 15/06/2020</t>
  </si>
  <si>
    <t>2 Castlemartin Drive End</t>
  </si>
  <si>
    <t>A92 H3F2</t>
  </si>
  <si>
    <t>M1 Retail Park Stray B/W Cat</t>
  </si>
  <si>
    <t>St Peter's Graveyard Kitten</t>
  </si>
  <si>
    <t>Ardee Railway Kitten1</t>
  </si>
  <si>
    <t>Ardee Railway Kitten2</t>
  </si>
  <si>
    <t>Ardee Railway Kitten3</t>
  </si>
  <si>
    <t>2-3 Weeks</t>
  </si>
  <si>
    <t>Ramparts Green - Tabby Mother - Kitten3 - Miny</t>
  </si>
  <si>
    <t>Ramparts Green - Tabby Mother - Kitten4 - Moe</t>
  </si>
  <si>
    <t>Castlemartin Drive End, Bettystown - Abandoned Cat</t>
  </si>
  <si>
    <t>5-6 Years of Age</t>
  </si>
  <si>
    <t>Treated for worms and fleas (NexGard Combo). Given antibiotics for skin allergy - At V1.</t>
  </si>
  <si>
    <t>Caffrey</t>
  </si>
  <si>
    <t>Christine</t>
  </si>
  <si>
    <t>17 The Lawn</t>
  </si>
  <si>
    <t>Donacarney Wood</t>
  </si>
  <si>
    <t>A92 YXW6</t>
  </si>
  <si>
    <t>087 253 2458</t>
  </si>
  <si>
    <t>C. Silva</t>
  </si>
  <si>
    <t>C. Caffrey</t>
  </si>
  <si>
    <t>972 274 001 644 257</t>
  </si>
  <si>
    <t>972 274 001 644 259</t>
  </si>
  <si>
    <t>972 274 001 644 260</t>
  </si>
  <si>
    <t>972 274 001 644 258</t>
  </si>
  <si>
    <t>Lumi Slane Kitten No. 1</t>
  </si>
  <si>
    <t xml:space="preserve">7-Weeks Old  </t>
  </si>
  <si>
    <t>St. Finian's Park Very Sick Cat</t>
  </si>
  <si>
    <t>Cat in a very bad way. Severe muscle loss in hindend. Pupils fully dialated. Loss of control for BM. Not very responsive. Underweight with very poor body condition. No MC detected. Gums very pale with jaundice setting in.</t>
  </si>
  <si>
    <t>Castlebellingham Surrender Kitten1</t>
  </si>
  <si>
    <t>Castlebellingham Surrender Kitten2</t>
  </si>
  <si>
    <t>Aine</t>
  </si>
  <si>
    <t>Casey</t>
  </si>
  <si>
    <t>Laytown</t>
  </si>
  <si>
    <t>087 275 8904</t>
  </si>
  <si>
    <t>NOTE: This kitten seemed very disorientated and not as well balanced as the other kittens. Suspected neurological issues that could not be diagnosed at Westgate on Monday Sept 23rd.</t>
  </si>
  <si>
    <t>Gavin Seery Platin Road Cat</t>
  </si>
  <si>
    <t>Has an injured paw that will be checked out at neutering.</t>
  </si>
  <si>
    <t>Kells Surrender Kitten1</t>
  </si>
  <si>
    <t>Kells Surrender Kitten2</t>
  </si>
  <si>
    <t>Kells Surrender Kitten3</t>
  </si>
  <si>
    <t>Kells Surrender Kitten4</t>
  </si>
  <si>
    <t>Kells Surrender Kitten5</t>
  </si>
  <si>
    <t>972 274 001 596 155</t>
  </si>
  <si>
    <t>21/09/2024 NexGard Kitten Combo</t>
  </si>
  <si>
    <t>972 274 001 644 271</t>
  </si>
  <si>
    <t>Milbemax 23/07/2024. NexGard Kitten Combo 21/09/2024.</t>
  </si>
  <si>
    <t>laytown@westgatevets.com</t>
  </si>
  <si>
    <t>Knockcommon, Beauparc Co Meath Kitten1</t>
  </si>
  <si>
    <t>Knockcommon, Beauparc Co Meath Kitten2</t>
  </si>
  <si>
    <t>Found on Friday September 13th. There were three kittens, but one was killed on the road.</t>
  </si>
  <si>
    <t>Rathescar Lake, Dunleer Tortie Kitten</t>
  </si>
  <si>
    <t>Boggotstown Kitten1</t>
  </si>
  <si>
    <t>Boggotstown Kitten2</t>
  </si>
  <si>
    <t>Boggotstown Kitten3</t>
  </si>
  <si>
    <t>Previously Ear Tipped. Released at Patricia McDowell's Farm. PTS on 30/09/2024 FIV +ve.</t>
  </si>
  <si>
    <t>Conjunctivitis at intake to Allpets. 02/10/23 Milbemax. 03/11/23 Milbemax. 14/02/2024 Milbemax. 18/06/24 Bravecto and Milbemax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</si>
</sst>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FF00"/>
        <bgColor indexed="64"/>
      </patternFill>
    </fill>
  </fills>
  <borders count="6">
    <border>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66">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0" fillId="0" borderId="0" xfId="0" applyAlignment="1">
      <alignment horizontal="center"/>
    </xf>
    <xf numFmtId="0" fontId="0" fillId="2" borderId="0" xfId="0" applyFill="1" applyAlignment="1">
      <alignment horizontal="center"/>
    </xf>
    <xf numFmtId="14" fontId="0" fillId="2" borderId="0" xfId="0" applyNumberFormat="1" applyFill="1" applyAlignment="1">
      <alignment horizontal="center"/>
    </xf>
    <xf numFmtId="0" fontId="0" fillId="3" borderId="0" xfId="0"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0" fontId="1" fillId="0" borderId="0" xfId="0" applyFont="1" applyAlignment="1">
      <alignment horizontal="left"/>
    </xf>
    <xf numFmtId="14" fontId="0" fillId="0" borderId="0" xfId="0" applyNumberFormat="1" applyAlignment="1">
      <alignment horizontal="center"/>
    </xf>
    <xf numFmtId="0" fontId="0" fillId="3" borderId="0" xfId="0" applyFill="1" applyAlignment="1">
      <alignment horizontal="center" wrapText="1"/>
    </xf>
    <xf numFmtId="0" fontId="0" fillId="0" borderId="0" xfId="0"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xf>
    <xf numFmtId="14" fontId="0" fillId="2" borderId="0" xfId="0" applyNumberFormat="1" applyFill="1" applyAlignment="1">
      <alignment horizontal="center" vertical="center"/>
    </xf>
    <xf numFmtId="0" fontId="0" fillId="3" borderId="0" xfId="0" applyFill="1" applyAlignment="1">
      <alignment horizontal="center" vertical="center" wrapText="1"/>
    </xf>
    <xf numFmtId="0" fontId="0" fillId="2" borderId="3" xfId="0" applyFill="1" applyBorder="1"/>
    <xf numFmtId="0" fontId="0" fillId="0" borderId="3" xfId="0" applyBorder="1"/>
    <xf numFmtId="14" fontId="0" fillId="0" borderId="3" xfId="0" applyNumberFormat="1" applyBorder="1"/>
    <xf numFmtId="0" fontId="0" fillId="0" borderId="4" xfId="0" applyBorder="1"/>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0" xfId="0" applyFont="1"/>
    <xf numFmtId="16" fontId="0" fillId="0" borderId="0" xfId="0" applyNumberFormat="1" applyAlignment="1">
      <alignment horizontal="center"/>
    </xf>
    <xf numFmtId="0" fontId="0" fillId="3" borderId="0" xfId="0" applyFill="1" applyAlignment="1">
      <alignment horizontal="center" vertical="center"/>
    </xf>
    <xf numFmtId="0" fontId="1" fillId="5" borderId="0" xfId="0" applyFont="1" applyFill="1" applyAlignment="1">
      <alignment horizontal="center"/>
    </xf>
    <xf numFmtId="0" fontId="0" fillId="5" borderId="0" xfId="0" applyFill="1" applyAlignment="1">
      <alignment horizontal="center"/>
    </xf>
    <xf numFmtId="0" fontId="0" fillId="5" borderId="0" xfId="0" applyFill="1" applyAlignment="1">
      <alignment horizontal="center" vertical="center"/>
    </xf>
    <xf numFmtId="14" fontId="0" fillId="5" borderId="0" xfId="0" applyNumberFormat="1" applyFill="1" applyAlignment="1">
      <alignment horizontal="center"/>
    </xf>
    <xf numFmtId="14" fontId="0" fillId="4" borderId="0" xfId="0" applyNumberFormat="1" applyFill="1" applyAlignment="1">
      <alignment horizontal="center"/>
    </xf>
    <xf numFmtId="14" fontId="0" fillId="4" borderId="0" xfId="0" applyNumberFormat="1" applyFill="1" applyAlignment="1">
      <alignment horizontal="center" vertical="center"/>
    </xf>
    <xf numFmtId="14" fontId="0" fillId="5" borderId="0" xfId="0" applyNumberFormat="1" applyFill="1" applyAlignment="1">
      <alignment horizontal="center" vertical="center"/>
    </xf>
    <xf numFmtId="14" fontId="0" fillId="0" borderId="0" xfId="0" applyNumberFormat="1" applyAlignment="1">
      <alignment horizontal="center" vertical="center"/>
    </xf>
    <xf numFmtId="0" fontId="1" fillId="6" borderId="0" xfId="0" applyFont="1" applyFill="1" applyAlignment="1">
      <alignment horizontal="center"/>
    </xf>
    <xf numFmtId="0" fontId="0" fillId="6" borderId="0" xfId="0" applyFill="1" applyAlignment="1">
      <alignment horizontal="center"/>
    </xf>
    <xf numFmtId="0" fontId="0" fillId="6" borderId="0" xfId="0" applyFill="1" applyAlignment="1">
      <alignment horizontal="center" vertical="center"/>
    </xf>
    <xf numFmtId="17" fontId="0" fillId="0" borderId="0" xfId="0" applyNumberFormat="1" applyAlignment="1">
      <alignment horizontal="center"/>
    </xf>
    <xf numFmtId="16" fontId="0" fillId="3" borderId="0" xfId="0" applyNumberFormat="1" applyFill="1" applyAlignment="1">
      <alignment horizontal="center"/>
    </xf>
    <xf numFmtId="0" fontId="0" fillId="7" borderId="0" xfId="0" applyFill="1" applyAlignment="1">
      <alignment horizontal="center"/>
    </xf>
    <xf numFmtId="0" fontId="0" fillId="7" borderId="0" xfId="0" applyFill="1" applyAlignment="1">
      <alignment horizontal="center" vertical="center"/>
    </xf>
    <xf numFmtId="14" fontId="0" fillId="7" borderId="0" xfId="0" applyNumberFormat="1" applyFill="1" applyAlignment="1">
      <alignment horizontal="center"/>
    </xf>
    <xf numFmtId="0" fontId="3" fillId="0" borderId="0" xfId="1"/>
    <xf numFmtId="0" fontId="0" fillId="0" borderId="0" xfId="0" applyAlignment="1">
      <alignment horizontal="center" wrapText="1"/>
    </xf>
    <xf numFmtId="0" fontId="0" fillId="0" borderId="5" xfId="0" applyBorder="1" applyAlignment="1">
      <alignment horizontal="center"/>
    </xf>
    <xf numFmtId="0" fontId="1" fillId="0" borderId="0" xfId="0" applyFont="1" applyAlignment="1">
      <alignment horizontal="center" vertical="center"/>
    </xf>
    <xf numFmtId="0" fontId="1" fillId="3" borderId="0" xfId="0" applyFont="1" applyFill="1" applyAlignment="1">
      <alignment horizontal="center" vertical="center"/>
    </xf>
    <xf numFmtId="0" fontId="1" fillId="2"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0" fillId="0" borderId="0" xfId="0" quotePrefix="1"/>
    <xf numFmtId="14" fontId="0" fillId="3" borderId="0" xfId="0" applyNumberFormat="1" applyFill="1" applyAlignment="1">
      <alignment horizontal="center"/>
    </xf>
    <xf numFmtId="14" fontId="0" fillId="3" borderId="0" xfId="0" applyNumberFormat="1" applyFill="1" applyAlignment="1">
      <alignment horizontal="center" vertical="center"/>
    </xf>
    <xf numFmtId="0" fontId="0" fillId="0" borderId="0" xfId="0" applyAlignment="1">
      <alignment horizontal="center" vertical="center" wrapText="1"/>
    </xf>
    <xf numFmtId="14" fontId="0" fillId="7" borderId="0" xfId="0" applyNumberFormat="1" applyFill="1" applyAlignment="1">
      <alignment horizontal="center" vertical="center"/>
    </xf>
    <xf numFmtId="14" fontId="0" fillId="7" borderId="0" xfId="0" applyNumberFormat="1" applyFill="1" applyAlignment="1">
      <alignment horizontal="center" vertical="center" wrapText="1"/>
    </xf>
    <xf numFmtId="14" fontId="0" fillId="8" borderId="0" xfId="0" applyNumberFormat="1" applyFill="1" applyAlignment="1">
      <alignment horizontal="center"/>
    </xf>
    <xf numFmtId="0" fontId="0" fillId="8" borderId="0" xfId="0" quotePrefix="1" applyFill="1" applyAlignment="1">
      <alignment horizontal="center"/>
    </xf>
    <xf numFmtId="0" fontId="0" fillId="8" borderId="0" xfId="0" applyFill="1" applyAlignment="1">
      <alignment horizontal="center"/>
    </xf>
    <xf numFmtId="0" fontId="0" fillId="6" borderId="0" xfId="0" applyFill="1" applyAlignment="1">
      <alignment horizontal="center" vertical="center" wrapText="1"/>
    </xf>
    <xf numFmtId="0" fontId="4"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marijanazrncevic@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laytown@westgatevets.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8F6C-6850-458E-A1DE-60DCD06EE5A6}">
  <dimension ref="A1:AA966"/>
  <sheetViews>
    <sheetView tabSelected="1" zoomScale="112" zoomScaleNormal="112" zoomScaleSheetLayoutView="59" workbookViewId="0">
      <pane xSplit="1" ySplit="1" topLeftCell="B2" activePane="bottomRight" state="frozen"/>
      <selection pane="topRight" activeCell="B1" sqref="B1"/>
      <selection pane="bottomLeft" activeCell="A2" sqref="A2"/>
      <selection pane="bottomRight" activeCell="P938" sqref="P938"/>
    </sheetView>
  </sheetViews>
  <sheetFormatPr defaultRowHeight="15" x14ac:dyDescent="0.25"/>
  <cols>
    <col min="1" max="1" width="74.85546875" style="7" customWidth="1"/>
    <col min="2" max="2" width="15" style="7" customWidth="1"/>
    <col min="3" max="3" width="23.42578125" style="5" customWidth="1"/>
    <col min="4" max="4" width="24.5703125" style="4" customWidth="1"/>
    <col min="5" max="5" width="22.140625" style="5" customWidth="1"/>
    <col min="6" max="6" width="29.42578125" style="4" customWidth="1"/>
    <col min="7" max="7" width="24.28515625" style="9" customWidth="1"/>
    <col min="8" max="8" width="17.28515625" style="30" customWidth="1"/>
    <col min="9" max="9" width="17.28515625" style="9" customWidth="1"/>
    <col min="10" max="10" width="24.28515625" style="4" customWidth="1"/>
    <col min="11" max="11" width="20.28515625" style="5" customWidth="1"/>
    <col min="12" max="13" width="10.7109375" style="7" customWidth="1"/>
    <col min="14" max="14" width="25.28515625" style="4" customWidth="1"/>
    <col min="15" max="15" width="17.42578125" style="5" customWidth="1"/>
    <col min="16" max="16" width="20.140625" style="4" customWidth="1"/>
    <col min="17" max="17" width="21" style="9" customWidth="1"/>
    <col min="18" max="18" width="22.28515625" style="4" customWidth="1"/>
    <col min="19" max="19" width="14.85546875" style="5" customWidth="1"/>
    <col min="20" max="20" width="23" style="4" customWidth="1"/>
    <col min="21" max="21" width="19.7109375" style="5" customWidth="1"/>
    <col min="22" max="22" width="12.5703125" style="4" customWidth="1"/>
    <col min="23" max="23" width="23.85546875" style="5" customWidth="1"/>
    <col min="24" max="24" width="23.85546875" style="38" customWidth="1"/>
    <col min="25" max="25" width="21" style="42" customWidth="1"/>
    <col min="26" max="26" width="255.5703125" style="7" customWidth="1"/>
    <col min="27" max="16384" width="9.140625" style="4"/>
  </cols>
  <sheetData>
    <row r="1" spans="1:26" s="48" customFormat="1" ht="21" customHeight="1" x14ac:dyDescent="0.25">
      <c r="A1" s="49" t="s">
        <v>0</v>
      </c>
      <c r="B1" s="49" t="s">
        <v>1069</v>
      </c>
      <c r="C1" s="50" t="s">
        <v>1</v>
      </c>
      <c r="D1" s="48" t="s">
        <v>21</v>
      </c>
      <c r="E1" s="50" t="s">
        <v>2</v>
      </c>
      <c r="F1" s="48" t="s">
        <v>136</v>
      </c>
      <c r="G1" s="51" t="s">
        <v>49</v>
      </c>
      <c r="H1" s="52" t="s">
        <v>326</v>
      </c>
      <c r="I1" s="51" t="s">
        <v>327</v>
      </c>
      <c r="J1" s="48" t="s">
        <v>54</v>
      </c>
      <c r="K1" s="50" t="s">
        <v>4</v>
      </c>
      <c r="L1" s="49" t="s">
        <v>2014</v>
      </c>
      <c r="M1" s="49" t="s">
        <v>2015</v>
      </c>
      <c r="N1" s="48" t="s">
        <v>72</v>
      </c>
      <c r="O1" s="50" t="s">
        <v>5</v>
      </c>
      <c r="P1" s="48" t="s">
        <v>6</v>
      </c>
      <c r="Q1" s="51" t="s">
        <v>83</v>
      </c>
      <c r="R1" s="48" t="s">
        <v>40</v>
      </c>
      <c r="S1" s="50" t="s">
        <v>7</v>
      </c>
      <c r="T1" s="48" t="s">
        <v>8</v>
      </c>
      <c r="U1" s="50" t="s">
        <v>9</v>
      </c>
      <c r="V1" s="48" t="s">
        <v>10</v>
      </c>
      <c r="W1" s="50" t="s">
        <v>37</v>
      </c>
      <c r="X1" s="53" t="s">
        <v>831</v>
      </c>
      <c r="Y1" s="54" t="s">
        <v>1671</v>
      </c>
      <c r="Z1" s="49" t="s">
        <v>11</v>
      </c>
    </row>
    <row r="2" spans="1:26" x14ac:dyDescent="0.25">
      <c r="A2" s="7" t="s">
        <v>227</v>
      </c>
      <c r="C2" s="5" t="s">
        <v>12</v>
      </c>
      <c r="D2" s="4" t="s">
        <v>20</v>
      </c>
      <c r="E2" s="5" t="s">
        <v>25</v>
      </c>
      <c r="F2" s="4" t="s">
        <v>228</v>
      </c>
      <c r="G2" s="9" t="s">
        <v>51</v>
      </c>
      <c r="J2" s="4" t="s">
        <v>56</v>
      </c>
      <c r="N2" s="4" t="s">
        <v>73</v>
      </c>
      <c r="O2" s="6">
        <v>44634</v>
      </c>
      <c r="Q2" s="9">
        <f ca="1">IF(P2="",TODAY()-O2,P2-O2)</f>
        <v>935</v>
      </c>
      <c r="S2" s="5" t="s">
        <v>26</v>
      </c>
      <c r="T2" s="4" t="s">
        <v>38</v>
      </c>
      <c r="U2" s="5" t="s">
        <v>30</v>
      </c>
      <c r="W2" s="5" t="s">
        <v>38</v>
      </c>
      <c r="Z2" s="7" t="s">
        <v>229</v>
      </c>
    </row>
    <row r="3" spans="1:26" x14ac:dyDescent="0.25">
      <c r="A3" s="7" t="s">
        <v>216</v>
      </c>
      <c r="C3" s="5" t="s">
        <v>12</v>
      </c>
      <c r="D3" s="4" t="s">
        <v>20</v>
      </c>
      <c r="E3" s="5" t="s">
        <v>25</v>
      </c>
      <c r="F3" s="4" t="s">
        <v>221</v>
      </c>
      <c r="G3" s="9" t="s">
        <v>51</v>
      </c>
      <c r="J3" s="4" t="s">
        <v>56</v>
      </c>
      <c r="N3" s="4" t="s">
        <v>73</v>
      </c>
      <c r="O3" s="6">
        <v>44653</v>
      </c>
      <c r="Q3" s="9">
        <f ca="1">IF(P3="",TODAY()-O3,P3-O3)</f>
        <v>916</v>
      </c>
      <c r="S3" s="5" t="s">
        <v>26</v>
      </c>
      <c r="T3" s="4" t="s">
        <v>38</v>
      </c>
      <c r="U3" s="5" t="s">
        <v>30</v>
      </c>
      <c r="W3" s="5" t="s">
        <v>38</v>
      </c>
      <c r="Z3" s="7" t="s">
        <v>223</v>
      </c>
    </row>
    <row r="4" spans="1:26" x14ac:dyDescent="0.25">
      <c r="A4" s="7" t="s">
        <v>217</v>
      </c>
      <c r="C4" s="5" t="s">
        <v>12</v>
      </c>
      <c r="D4" s="4" t="s">
        <v>20</v>
      </c>
      <c r="E4" s="5" t="s">
        <v>24</v>
      </c>
      <c r="F4" s="4" t="s">
        <v>222</v>
      </c>
      <c r="G4" s="9" t="s">
        <v>51</v>
      </c>
      <c r="J4" s="4" t="s">
        <v>56</v>
      </c>
      <c r="K4" s="6">
        <v>44798</v>
      </c>
      <c r="L4" s="56"/>
      <c r="M4" s="56"/>
      <c r="N4" s="4" t="s">
        <v>73</v>
      </c>
      <c r="O4" s="6">
        <v>44673</v>
      </c>
      <c r="P4" s="11">
        <v>44856</v>
      </c>
      <c r="Q4" s="9">
        <f ca="1">IF(P4="",TODAY()-O4,P4-O4)</f>
        <v>183</v>
      </c>
      <c r="R4" s="4" t="s">
        <v>41</v>
      </c>
      <c r="S4" s="5" t="s">
        <v>28</v>
      </c>
      <c r="T4" s="4" t="s">
        <v>38</v>
      </c>
      <c r="U4" s="5" t="s">
        <v>30</v>
      </c>
      <c r="W4" s="5" t="s">
        <v>38</v>
      </c>
      <c r="Z4" s="7" t="s">
        <v>1003</v>
      </c>
    </row>
    <row r="5" spans="1:26" x14ac:dyDescent="0.25">
      <c r="A5" s="7" t="s">
        <v>218</v>
      </c>
      <c r="C5" s="5" t="s">
        <v>12</v>
      </c>
      <c r="D5" s="4" t="s">
        <v>20</v>
      </c>
      <c r="E5" s="5" t="s">
        <v>23</v>
      </c>
      <c r="F5" s="4" t="s">
        <v>222</v>
      </c>
      <c r="G5" s="9" t="s">
        <v>51</v>
      </c>
      <c r="J5" s="4" t="s">
        <v>56</v>
      </c>
      <c r="K5" s="6">
        <v>44840</v>
      </c>
      <c r="L5" s="56"/>
      <c r="M5" s="56"/>
      <c r="N5" s="4" t="s">
        <v>73</v>
      </c>
      <c r="O5" s="6">
        <v>44673</v>
      </c>
      <c r="P5" s="11">
        <v>44867</v>
      </c>
      <c r="Q5" s="9">
        <f ca="1">IF(P5="",TODAY()-O5,P5-O5)</f>
        <v>194</v>
      </c>
      <c r="S5" s="5" t="s">
        <v>28</v>
      </c>
      <c r="T5" s="4" t="s">
        <v>38</v>
      </c>
      <c r="U5" s="5" t="s">
        <v>30</v>
      </c>
      <c r="W5" s="5" t="s">
        <v>38</v>
      </c>
      <c r="Z5" s="7" t="s">
        <v>399</v>
      </c>
    </row>
    <row r="6" spans="1:26" x14ac:dyDescent="0.25">
      <c r="A6" s="7" t="s">
        <v>219</v>
      </c>
      <c r="C6" s="5" t="s">
        <v>12</v>
      </c>
      <c r="D6" s="4" t="s">
        <v>20</v>
      </c>
      <c r="E6" s="5" t="s">
        <v>23</v>
      </c>
      <c r="F6" s="4" t="s">
        <v>222</v>
      </c>
      <c r="G6" s="9" t="s">
        <v>51</v>
      </c>
      <c r="J6" s="4" t="s">
        <v>56</v>
      </c>
      <c r="K6" s="6">
        <v>44840</v>
      </c>
      <c r="L6" s="56"/>
      <c r="M6" s="56"/>
      <c r="N6" s="4" t="s">
        <v>73</v>
      </c>
      <c r="O6" s="6">
        <v>44673</v>
      </c>
      <c r="P6" s="11">
        <v>44905</v>
      </c>
      <c r="Q6" s="9">
        <f ca="1">IF(P6="",TODAY()-O6,P6-O6)</f>
        <v>232</v>
      </c>
      <c r="S6" s="5" t="s">
        <v>28</v>
      </c>
      <c r="T6" s="4" t="s">
        <v>38</v>
      </c>
      <c r="U6" s="5" t="s">
        <v>30</v>
      </c>
      <c r="W6" s="5" t="s">
        <v>38</v>
      </c>
      <c r="Z6" s="7" t="s">
        <v>399</v>
      </c>
    </row>
    <row r="7" spans="1:26" x14ac:dyDescent="0.25">
      <c r="A7" s="7" t="s">
        <v>220</v>
      </c>
      <c r="C7" s="5" t="s">
        <v>12</v>
      </c>
      <c r="D7" s="4" t="s">
        <v>20</v>
      </c>
      <c r="E7" s="5" t="s">
        <v>23</v>
      </c>
      <c r="F7" s="4" t="s">
        <v>222</v>
      </c>
      <c r="G7" s="9" t="s">
        <v>51</v>
      </c>
      <c r="J7" s="4" t="s">
        <v>56</v>
      </c>
      <c r="K7" s="6">
        <v>44840</v>
      </c>
      <c r="L7" s="56"/>
      <c r="M7" s="56"/>
      <c r="N7" s="4" t="s">
        <v>73</v>
      </c>
      <c r="O7" s="6">
        <v>44673</v>
      </c>
      <c r="P7" s="11">
        <v>44905</v>
      </c>
      <c r="Q7" s="9">
        <f ca="1">IF(P7="",TODAY()-O7,P7-O7)</f>
        <v>232</v>
      </c>
      <c r="S7" s="5" t="s">
        <v>28</v>
      </c>
      <c r="T7" s="4" t="s">
        <v>38</v>
      </c>
      <c r="U7" s="5" t="s">
        <v>30</v>
      </c>
      <c r="W7" s="5" t="s">
        <v>38</v>
      </c>
      <c r="Z7" s="7" t="s">
        <v>400</v>
      </c>
    </row>
    <row r="8" spans="1:26" x14ac:dyDescent="0.25">
      <c r="A8" s="7" t="s">
        <v>224</v>
      </c>
      <c r="C8" s="5" t="s">
        <v>12</v>
      </c>
      <c r="D8" s="4" t="s">
        <v>20</v>
      </c>
      <c r="E8" s="5" t="s">
        <v>24</v>
      </c>
      <c r="F8" s="4" t="s">
        <v>339</v>
      </c>
      <c r="G8" s="9" t="s">
        <v>51</v>
      </c>
      <c r="J8" s="4" t="s">
        <v>56</v>
      </c>
      <c r="K8" s="6">
        <v>44798</v>
      </c>
      <c r="L8" s="56"/>
      <c r="M8" s="56"/>
      <c r="N8" s="4" t="s">
        <v>73</v>
      </c>
      <c r="O8" s="6">
        <v>44680</v>
      </c>
      <c r="P8" s="11">
        <v>44867</v>
      </c>
      <c r="Q8" s="9">
        <f ca="1">IF(P8="",TODAY()-O8,P8-O8)</f>
        <v>187</v>
      </c>
      <c r="S8" s="5" t="s">
        <v>122</v>
      </c>
      <c r="T8" s="4" t="s">
        <v>38</v>
      </c>
      <c r="U8" s="5" t="s">
        <v>30</v>
      </c>
      <c r="W8" s="5" t="s">
        <v>38</v>
      </c>
      <c r="Z8" s="7" t="s">
        <v>226</v>
      </c>
    </row>
    <row r="9" spans="1:26" x14ac:dyDescent="0.25">
      <c r="A9" s="7" t="s">
        <v>225</v>
      </c>
      <c r="C9" s="5" t="s">
        <v>12</v>
      </c>
      <c r="D9" s="4" t="s">
        <v>20</v>
      </c>
      <c r="E9" s="5" t="s">
        <v>23</v>
      </c>
      <c r="F9" s="4" t="s">
        <v>339</v>
      </c>
      <c r="G9" s="9" t="s">
        <v>51</v>
      </c>
      <c r="J9" s="4" t="s">
        <v>56</v>
      </c>
      <c r="N9" s="4" t="s">
        <v>73</v>
      </c>
      <c r="O9" s="6">
        <v>44680</v>
      </c>
      <c r="Q9" s="9">
        <f ca="1">IF(P9="",TODAY()-O9,P9-O9)</f>
        <v>889</v>
      </c>
      <c r="S9" s="5" t="s">
        <v>122</v>
      </c>
      <c r="T9" s="4" t="s">
        <v>38</v>
      </c>
      <c r="U9" s="5" t="s">
        <v>30</v>
      </c>
      <c r="W9" s="5" t="s">
        <v>38</v>
      </c>
      <c r="Z9" s="7" t="s">
        <v>226</v>
      </c>
    </row>
    <row r="10" spans="1:26" x14ac:dyDescent="0.25">
      <c r="A10" s="7" t="s">
        <v>123</v>
      </c>
      <c r="C10" s="5" t="s">
        <v>12</v>
      </c>
      <c r="D10" s="4" t="s">
        <v>17</v>
      </c>
      <c r="E10" s="5" t="s">
        <v>24</v>
      </c>
      <c r="F10" s="4" t="s">
        <v>124</v>
      </c>
      <c r="G10" s="9" t="s">
        <v>51</v>
      </c>
      <c r="O10" s="6">
        <v>44684</v>
      </c>
      <c r="P10" s="11">
        <v>44684</v>
      </c>
      <c r="Q10" s="9">
        <f ca="1">IF(P10="",TODAY()-O10,P10-O10)</f>
        <v>0</v>
      </c>
      <c r="R10" s="4" t="s">
        <v>41</v>
      </c>
      <c r="S10" s="5" t="s">
        <v>27</v>
      </c>
      <c r="U10" s="5" t="s">
        <v>29</v>
      </c>
      <c r="W10" s="5" t="s">
        <v>39</v>
      </c>
      <c r="Z10" s="7" t="s">
        <v>125</v>
      </c>
    </row>
    <row r="11" spans="1:26" x14ac:dyDescent="0.25">
      <c r="A11" s="7" t="s">
        <v>149</v>
      </c>
      <c r="C11" s="5" t="s">
        <v>12</v>
      </c>
      <c r="D11" s="4" t="s">
        <v>17</v>
      </c>
      <c r="E11" s="5" t="s">
        <v>24</v>
      </c>
      <c r="F11" s="4" t="s">
        <v>47</v>
      </c>
      <c r="K11" s="6">
        <v>44791</v>
      </c>
      <c r="L11" s="56"/>
      <c r="M11" s="56"/>
      <c r="N11" s="4" t="s">
        <v>73</v>
      </c>
      <c r="O11" s="6">
        <v>44689</v>
      </c>
      <c r="P11" s="11">
        <v>44798</v>
      </c>
      <c r="Q11" s="9">
        <f ca="1">IF(P11="",TODAY()-O11,P11-O11)</f>
        <v>109</v>
      </c>
      <c r="R11" s="4" t="s">
        <v>257</v>
      </c>
      <c r="S11" s="5" t="s">
        <v>26</v>
      </c>
      <c r="T11" s="4" t="s">
        <v>112</v>
      </c>
      <c r="U11" s="5" t="s">
        <v>33</v>
      </c>
      <c r="W11" s="5" t="s">
        <v>38</v>
      </c>
      <c r="Z11" s="7" t="s">
        <v>205</v>
      </c>
    </row>
    <row r="12" spans="1:26" x14ac:dyDescent="0.25">
      <c r="A12" s="7" t="s">
        <v>150</v>
      </c>
      <c r="C12" s="5" t="s">
        <v>12</v>
      </c>
      <c r="D12" s="4" t="s">
        <v>17</v>
      </c>
      <c r="E12" s="5" t="s">
        <v>24</v>
      </c>
      <c r="F12" s="4" t="s">
        <v>47</v>
      </c>
      <c r="K12" s="6">
        <v>44791</v>
      </c>
      <c r="L12" s="56"/>
      <c r="M12" s="56"/>
      <c r="N12" s="4" t="s">
        <v>73</v>
      </c>
      <c r="O12" s="6">
        <v>44689</v>
      </c>
      <c r="P12" s="11">
        <v>44798</v>
      </c>
      <c r="Q12" s="9">
        <f ca="1">IF(P12="",TODAY()-O12,P12-O12)</f>
        <v>109</v>
      </c>
      <c r="R12" s="4" t="s">
        <v>257</v>
      </c>
      <c r="S12" s="5" t="s">
        <v>26</v>
      </c>
      <c r="T12" s="4" t="s">
        <v>112</v>
      </c>
      <c r="U12" s="5" t="s">
        <v>33</v>
      </c>
      <c r="W12" s="5" t="s">
        <v>38</v>
      </c>
      <c r="Z12" s="7" t="s">
        <v>205</v>
      </c>
    </row>
    <row r="13" spans="1:26" x14ac:dyDescent="0.25">
      <c r="A13" s="7" t="s">
        <v>151</v>
      </c>
      <c r="C13" s="5" t="s">
        <v>12</v>
      </c>
      <c r="D13" s="4" t="s">
        <v>17</v>
      </c>
      <c r="E13" s="5" t="s">
        <v>25</v>
      </c>
      <c r="F13" s="4" t="s">
        <v>47</v>
      </c>
      <c r="K13" s="6">
        <v>44791</v>
      </c>
      <c r="L13" s="56"/>
      <c r="M13" s="56"/>
      <c r="N13" s="4" t="s">
        <v>73</v>
      </c>
      <c r="O13" s="6">
        <v>44689</v>
      </c>
      <c r="P13" s="11">
        <v>44798</v>
      </c>
      <c r="Q13" s="9">
        <f ca="1">IF(P13="",TODAY()-O13,P13-O13)</f>
        <v>109</v>
      </c>
      <c r="R13" s="4" t="s">
        <v>257</v>
      </c>
      <c r="S13" s="5" t="s">
        <v>26</v>
      </c>
      <c r="T13" s="4" t="s">
        <v>112</v>
      </c>
      <c r="U13" s="5" t="s">
        <v>33</v>
      </c>
      <c r="W13" s="5" t="s">
        <v>38</v>
      </c>
      <c r="Z13" s="7" t="s">
        <v>205</v>
      </c>
    </row>
    <row r="14" spans="1:26" ht="15.75" customHeight="1" x14ac:dyDescent="0.25">
      <c r="A14" s="7" t="s">
        <v>46</v>
      </c>
      <c r="C14" s="5" t="s">
        <v>12</v>
      </c>
      <c r="D14" s="4" t="s">
        <v>20</v>
      </c>
      <c r="E14" s="5" t="s">
        <v>23</v>
      </c>
      <c r="F14" s="4" t="s">
        <v>47</v>
      </c>
      <c r="G14" s="9" t="s">
        <v>50</v>
      </c>
      <c r="J14" s="4" t="s">
        <v>56</v>
      </c>
      <c r="N14" s="4" t="s">
        <v>73</v>
      </c>
      <c r="O14" s="6">
        <v>44718</v>
      </c>
      <c r="P14" s="11">
        <v>44744</v>
      </c>
      <c r="Q14" s="9">
        <f ca="1">IF(P14="",TODAY()-O14,P14-O14)</f>
        <v>26</v>
      </c>
      <c r="R14" s="4" t="s">
        <v>41</v>
      </c>
      <c r="S14" s="5" t="s">
        <v>26</v>
      </c>
      <c r="T14" s="4" t="s">
        <v>132</v>
      </c>
      <c r="U14" s="5" t="s">
        <v>30</v>
      </c>
      <c r="W14" s="5" t="s">
        <v>39</v>
      </c>
      <c r="Z14" s="7" t="s">
        <v>48</v>
      </c>
    </row>
    <row r="15" spans="1:26" x14ac:dyDescent="0.25">
      <c r="A15" s="7" t="s">
        <v>137</v>
      </c>
      <c r="C15" s="5" t="s">
        <v>12</v>
      </c>
      <c r="D15" s="4" t="s">
        <v>14</v>
      </c>
      <c r="E15" s="5" t="s">
        <v>25</v>
      </c>
      <c r="G15" s="9" t="s">
        <v>51</v>
      </c>
      <c r="H15" s="32">
        <v>44753</v>
      </c>
      <c r="I15" s="33">
        <v>44775</v>
      </c>
      <c r="J15" s="4" t="s">
        <v>101</v>
      </c>
      <c r="K15" s="6">
        <v>44869</v>
      </c>
      <c r="L15" s="56"/>
      <c r="M15" s="56"/>
      <c r="N15" s="4" t="s">
        <v>73</v>
      </c>
      <c r="O15" s="6">
        <v>44729</v>
      </c>
      <c r="P15" s="11">
        <v>45094</v>
      </c>
      <c r="Q15" s="9">
        <f ca="1">IF(P15="",TODAY()-O15,P15-O15)</f>
        <v>365</v>
      </c>
      <c r="S15" s="5" t="s">
        <v>27</v>
      </c>
      <c r="T15" s="4" t="s">
        <v>148</v>
      </c>
      <c r="U15" s="5" t="s">
        <v>29</v>
      </c>
      <c r="V15" s="4">
        <v>803</v>
      </c>
      <c r="W15" s="5" t="s">
        <v>148</v>
      </c>
    </row>
    <row r="16" spans="1:26" x14ac:dyDescent="0.25">
      <c r="A16" s="7" t="s">
        <v>138</v>
      </c>
      <c r="C16" s="5" t="s">
        <v>12</v>
      </c>
      <c r="D16" s="4" t="s">
        <v>127</v>
      </c>
      <c r="E16" s="5" t="s">
        <v>23</v>
      </c>
      <c r="F16" s="4" t="s">
        <v>144</v>
      </c>
      <c r="G16" s="9" t="s">
        <v>51</v>
      </c>
      <c r="H16" s="32">
        <v>44764</v>
      </c>
      <c r="I16" s="33">
        <v>44785</v>
      </c>
      <c r="J16" s="4" t="s">
        <v>101</v>
      </c>
      <c r="N16" s="4" t="s">
        <v>73</v>
      </c>
      <c r="O16" s="6">
        <v>44729</v>
      </c>
      <c r="Q16" s="9">
        <f ca="1">IF(P16="",TODAY()-O16,P16-O16)</f>
        <v>840</v>
      </c>
      <c r="S16" s="5" t="s">
        <v>27</v>
      </c>
      <c r="T16" s="4" t="s">
        <v>148</v>
      </c>
      <c r="U16" s="5" t="s">
        <v>29</v>
      </c>
      <c r="V16" s="4">
        <v>804</v>
      </c>
      <c r="W16" s="5" t="s">
        <v>148</v>
      </c>
    </row>
    <row r="17" spans="1:26" x14ac:dyDescent="0.25">
      <c r="A17" s="7" t="s">
        <v>139</v>
      </c>
      <c r="C17" s="5" t="s">
        <v>12</v>
      </c>
      <c r="D17" s="4" t="s">
        <v>127</v>
      </c>
      <c r="E17" s="5" t="s">
        <v>23</v>
      </c>
      <c r="F17" s="4" t="s">
        <v>144</v>
      </c>
      <c r="G17" s="9" t="s">
        <v>51</v>
      </c>
      <c r="H17" s="32">
        <v>44764</v>
      </c>
      <c r="I17" s="33">
        <v>44785</v>
      </c>
      <c r="J17" s="4" t="s">
        <v>101</v>
      </c>
      <c r="N17" s="4" t="s">
        <v>73</v>
      </c>
      <c r="O17" s="6">
        <v>44729</v>
      </c>
      <c r="Q17" s="9">
        <f ca="1">IF(P17="",TODAY()-O17,P17-O17)</f>
        <v>840</v>
      </c>
      <c r="S17" s="5" t="s">
        <v>27</v>
      </c>
      <c r="T17" s="4" t="s">
        <v>148</v>
      </c>
      <c r="U17" s="5" t="s">
        <v>29</v>
      </c>
      <c r="V17" s="4">
        <v>804</v>
      </c>
      <c r="W17" s="5" t="s">
        <v>148</v>
      </c>
    </row>
    <row r="18" spans="1:26" x14ac:dyDescent="0.25">
      <c r="A18" s="7" t="s">
        <v>140</v>
      </c>
      <c r="C18" s="5" t="s">
        <v>12</v>
      </c>
      <c r="D18" s="4" t="s">
        <v>127</v>
      </c>
      <c r="E18" s="5" t="s">
        <v>23</v>
      </c>
      <c r="F18" s="4" t="s">
        <v>144</v>
      </c>
      <c r="G18" s="9" t="s">
        <v>51</v>
      </c>
      <c r="H18" s="32">
        <v>44764</v>
      </c>
      <c r="I18" s="33">
        <v>44785</v>
      </c>
      <c r="J18" s="4" t="s">
        <v>101</v>
      </c>
      <c r="K18" s="6">
        <v>44851</v>
      </c>
      <c r="L18" s="56"/>
      <c r="M18" s="56"/>
      <c r="N18" s="4" t="s">
        <v>73</v>
      </c>
      <c r="O18" s="6">
        <v>44729</v>
      </c>
      <c r="Q18" s="9">
        <f ca="1">IF(P18="",TODAY()-O18,P18-O18)</f>
        <v>840</v>
      </c>
      <c r="S18" s="5" t="s">
        <v>27</v>
      </c>
      <c r="T18" s="4" t="s">
        <v>148</v>
      </c>
      <c r="U18" s="5" t="s">
        <v>29</v>
      </c>
      <c r="V18" s="4">
        <v>804</v>
      </c>
      <c r="W18" s="5" t="s">
        <v>148</v>
      </c>
    </row>
    <row r="19" spans="1:26" x14ac:dyDescent="0.25">
      <c r="A19" s="7" t="s">
        <v>141</v>
      </c>
      <c r="C19" s="5" t="s">
        <v>12</v>
      </c>
      <c r="D19" s="4" t="s">
        <v>127</v>
      </c>
      <c r="E19" s="5" t="s">
        <v>23</v>
      </c>
      <c r="F19" s="4" t="s">
        <v>144</v>
      </c>
      <c r="G19" s="9" t="s">
        <v>51</v>
      </c>
      <c r="H19" s="32">
        <v>44785</v>
      </c>
      <c r="I19" s="33">
        <v>44806</v>
      </c>
      <c r="J19" s="4" t="s">
        <v>101</v>
      </c>
      <c r="K19" s="6">
        <v>44851</v>
      </c>
      <c r="L19" s="56"/>
      <c r="M19" s="56"/>
      <c r="N19" s="4" t="s">
        <v>73</v>
      </c>
      <c r="O19" s="6">
        <v>44729</v>
      </c>
      <c r="P19" s="11">
        <v>45018</v>
      </c>
      <c r="Q19" s="9">
        <f ca="1">IF(P19="",TODAY()-O19,P19-O19)</f>
        <v>289</v>
      </c>
      <c r="R19" s="4" t="s">
        <v>41</v>
      </c>
      <c r="S19" s="5" t="s">
        <v>27</v>
      </c>
      <c r="T19" s="4" t="s">
        <v>148</v>
      </c>
      <c r="U19" s="5" t="s">
        <v>29</v>
      </c>
      <c r="V19" s="4">
        <v>804</v>
      </c>
      <c r="W19" s="5" t="s">
        <v>148</v>
      </c>
    </row>
    <row r="20" spans="1:26" x14ac:dyDescent="0.25">
      <c r="A20" s="7" t="s">
        <v>142</v>
      </c>
      <c r="C20" s="5" t="s">
        <v>12</v>
      </c>
      <c r="D20" s="4" t="s">
        <v>127</v>
      </c>
      <c r="E20" s="5" t="s">
        <v>23</v>
      </c>
      <c r="F20" s="4" t="s">
        <v>144</v>
      </c>
      <c r="G20" s="9" t="s">
        <v>51</v>
      </c>
      <c r="H20" s="32">
        <v>44785</v>
      </c>
      <c r="I20" s="33">
        <v>44806</v>
      </c>
      <c r="J20" s="4" t="s">
        <v>101</v>
      </c>
      <c r="K20" s="6">
        <v>44851</v>
      </c>
      <c r="L20" s="56"/>
      <c r="M20" s="56"/>
      <c r="N20" s="4" t="s">
        <v>73</v>
      </c>
      <c r="O20" s="6">
        <v>44729</v>
      </c>
      <c r="P20" s="11">
        <v>45018</v>
      </c>
      <c r="Q20" s="9">
        <f ca="1">IF(P20="",TODAY()-O20,P20-O20)</f>
        <v>289</v>
      </c>
      <c r="R20" s="4" t="s">
        <v>41</v>
      </c>
      <c r="S20" s="5" t="s">
        <v>27</v>
      </c>
      <c r="T20" s="4" t="s">
        <v>148</v>
      </c>
      <c r="U20" s="5" t="s">
        <v>29</v>
      </c>
      <c r="V20" s="4">
        <v>804</v>
      </c>
      <c r="W20" s="5" t="s">
        <v>148</v>
      </c>
    </row>
    <row r="21" spans="1:26" x14ac:dyDescent="0.25">
      <c r="A21" s="7" t="s">
        <v>155</v>
      </c>
      <c r="C21" s="5" t="s">
        <v>12</v>
      </c>
      <c r="D21" s="4" t="s">
        <v>17</v>
      </c>
      <c r="E21" s="5" t="s">
        <v>22</v>
      </c>
      <c r="F21" s="4" t="s">
        <v>143</v>
      </c>
      <c r="N21" s="4" t="s">
        <v>75</v>
      </c>
      <c r="O21" s="6">
        <v>44729</v>
      </c>
      <c r="P21" s="11">
        <v>44741</v>
      </c>
      <c r="Q21" s="9">
        <f ca="1">IF(P21="",TODAY()-O21,P21-O21)</f>
        <v>12</v>
      </c>
      <c r="R21" s="4" t="s">
        <v>42</v>
      </c>
      <c r="S21" s="5" t="s">
        <v>26</v>
      </c>
      <c r="W21" s="5" t="s">
        <v>148</v>
      </c>
      <c r="Z21" s="7" t="s">
        <v>191</v>
      </c>
    </row>
    <row r="22" spans="1:26" x14ac:dyDescent="0.25">
      <c r="A22" s="7" t="s">
        <v>230</v>
      </c>
      <c r="C22" s="5" t="s">
        <v>12</v>
      </c>
      <c r="D22" s="4" t="s">
        <v>17</v>
      </c>
      <c r="E22" s="5" t="s">
        <v>23</v>
      </c>
      <c r="G22" s="9" t="s">
        <v>51</v>
      </c>
      <c r="J22" s="4" t="s">
        <v>56</v>
      </c>
      <c r="K22" s="6">
        <v>44838</v>
      </c>
      <c r="L22" s="56"/>
      <c r="M22" s="56"/>
      <c r="N22" s="4" t="s">
        <v>73</v>
      </c>
      <c r="O22" s="6">
        <v>44729</v>
      </c>
      <c r="Q22" s="9">
        <f ca="1">IF(P22="",TODAY()-O22,P22-O22)</f>
        <v>840</v>
      </c>
      <c r="S22" s="5" t="s">
        <v>26</v>
      </c>
      <c r="T22" s="4" t="s">
        <v>38</v>
      </c>
      <c r="U22" s="5" t="s">
        <v>30</v>
      </c>
      <c r="W22" s="5" t="s">
        <v>38</v>
      </c>
      <c r="Z22" s="7" t="s">
        <v>368</v>
      </c>
    </row>
    <row r="23" spans="1:26" x14ac:dyDescent="0.25">
      <c r="A23" s="7" t="s">
        <v>116</v>
      </c>
      <c r="C23" s="5" t="s">
        <v>12</v>
      </c>
      <c r="D23" s="4" t="s">
        <v>20</v>
      </c>
      <c r="E23" s="5" t="s">
        <v>25</v>
      </c>
      <c r="F23" s="4" t="s">
        <v>156</v>
      </c>
      <c r="G23" s="9" t="s">
        <v>51</v>
      </c>
      <c r="J23" s="4" t="s">
        <v>101</v>
      </c>
      <c r="K23" s="6">
        <v>44736</v>
      </c>
      <c r="L23" s="56"/>
      <c r="M23" s="56"/>
      <c r="N23" s="4" t="s">
        <v>73</v>
      </c>
      <c r="O23" s="6">
        <v>44730</v>
      </c>
      <c r="Q23" s="9">
        <f ca="1">IF(P23="",TODAY()-O23,P23-O23)</f>
        <v>839</v>
      </c>
      <c r="S23" s="5" t="s">
        <v>121</v>
      </c>
      <c r="T23" s="4" t="s">
        <v>213</v>
      </c>
      <c r="U23" s="5" t="s">
        <v>29</v>
      </c>
      <c r="V23" s="4" t="s">
        <v>157</v>
      </c>
      <c r="W23" s="5" t="s">
        <v>39</v>
      </c>
    </row>
    <row r="24" spans="1:26" x14ac:dyDescent="0.25">
      <c r="A24" s="7" t="s">
        <v>117</v>
      </c>
      <c r="C24" s="5" t="s">
        <v>12</v>
      </c>
      <c r="D24" s="4" t="s">
        <v>20</v>
      </c>
      <c r="E24" s="5" t="s">
        <v>22</v>
      </c>
      <c r="F24" s="4" t="s">
        <v>143</v>
      </c>
      <c r="G24" s="9" t="s">
        <v>51</v>
      </c>
      <c r="J24" s="4" t="s">
        <v>101</v>
      </c>
      <c r="N24" s="4" t="s">
        <v>73</v>
      </c>
      <c r="O24" s="6">
        <v>44730</v>
      </c>
      <c r="Q24" s="9">
        <f ca="1">IF(P24="",TODAY()-O24,P24-O24)</f>
        <v>839</v>
      </c>
      <c r="S24" s="5" t="s">
        <v>121</v>
      </c>
      <c r="T24" s="4" t="s">
        <v>213</v>
      </c>
      <c r="U24" s="5" t="s">
        <v>29</v>
      </c>
      <c r="V24" s="4" t="s">
        <v>158</v>
      </c>
      <c r="W24" s="5" t="s">
        <v>39</v>
      </c>
    </row>
    <row r="25" spans="1:26" x14ac:dyDescent="0.25">
      <c r="A25" s="7" t="s">
        <v>118</v>
      </c>
      <c r="C25" s="5" t="s">
        <v>12</v>
      </c>
      <c r="D25" s="4" t="s">
        <v>20</v>
      </c>
      <c r="E25" s="5" t="s">
        <v>25</v>
      </c>
      <c r="F25" s="4" t="s">
        <v>143</v>
      </c>
      <c r="G25" s="9" t="s">
        <v>51</v>
      </c>
      <c r="H25" s="32">
        <v>44730</v>
      </c>
      <c r="I25" s="33">
        <v>44764</v>
      </c>
      <c r="J25" s="4" t="s">
        <v>101</v>
      </c>
      <c r="K25" s="6">
        <v>44798</v>
      </c>
      <c r="L25" s="56"/>
      <c r="M25" s="56"/>
      <c r="N25" s="4" t="s">
        <v>73</v>
      </c>
      <c r="O25" s="6">
        <v>44730</v>
      </c>
      <c r="P25" s="11">
        <v>44843</v>
      </c>
      <c r="Q25" s="9">
        <f ca="1">IF(P25="",TODAY()-O25,P25-O25)</f>
        <v>113</v>
      </c>
      <c r="R25" s="4" t="s">
        <v>41</v>
      </c>
      <c r="S25" s="5" t="s">
        <v>121</v>
      </c>
      <c r="T25" s="4" t="s">
        <v>213</v>
      </c>
      <c r="U25" s="5" t="s">
        <v>29</v>
      </c>
      <c r="V25" s="4" t="s">
        <v>159</v>
      </c>
      <c r="W25" s="5" t="s">
        <v>39</v>
      </c>
      <c r="Z25" s="7" t="s">
        <v>998</v>
      </c>
    </row>
    <row r="26" spans="1:26" x14ac:dyDescent="0.25">
      <c r="A26" s="7" t="s">
        <v>119</v>
      </c>
      <c r="C26" s="5" t="s">
        <v>12</v>
      </c>
      <c r="D26" s="4" t="s">
        <v>20</v>
      </c>
      <c r="E26" s="5" t="s">
        <v>25</v>
      </c>
      <c r="F26" s="4" t="s">
        <v>143</v>
      </c>
      <c r="G26" s="9" t="s">
        <v>51</v>
      </c>
      <c r="J26" s="4" t="s">
        <v>101</v>
      </c>
      <c r="K26" s="6">
        <v>44790</v>
      </c>
      <c r="L26" s="56"/>
      <c r="M26" s="56"/>
      <c r="N26" s="4" t="s">
        <v>73</v>
      </c>
      <c r="O26" s="6">
        <v>44730</v>
      </c>
      <c r="P26" s="11">
        <v>44982</v>
      </c>
      <c r="Q26" s="9">
        <f ca="1">IF(P26="",TODAY()-O26,P26-O26)</f>
        <v>252</v>
      </c>
      <c r="R26" s="4" t="s">
        <v>41</v>
      </c>
      <c r="S26" s="5" t="s">
        <v>121</v>
      </c>
      <c r="T26" s="4" t="s">
        <v>112</v>
      </c>
      <c r="U26" s="5" t="s">
        <v>29</v>
      </c>
      <c r="V26" s="4" t="s">
        <v>160</v>
      </c>
      <c r="W26" s="5" t="s">
        <v>39</v>
      </c>
      <c r="Z26" s="7" t="s">
        <v>370</v>
      </c>
    </row>
    <row r="27" spans="1:26" x14ac:dyDescent="0.25">
      <c r="A27" s="7" t="s">
        <v>120</v>
      </c>
      <c r="C27" s="5" t="s">
        <v>12</v>
      </c>
      <c r="D27" s="4" t="s">
        <v>20</v>
      </c>
      <c r="E27" s="5" t="s">
        <v>25</v>
      </c>
      <c r="F27" s="4" t="s">
        <v>143</v>
      </c>
      <c r="G27" s="9" t="s">
        <v>51</v>
      </c>
      <c r="J27" s="4" t="s">
        <v>101</v>
      </c>
      <c r="K27" s="6">
        <v>44790</v>
      </c>
      <c r="L27" s="56"/>
      <c r="M27" s="56"/>
      <c r="N27" s="4" t="s">
        <v>73</v>
      </c>
      <c r="O27" s="6">
        <v>44730</v>
      </c>
      <c r="Q27" s="9">
        <f ca="1">IF(P27="",TODAY()-O27,P27-O27)</f>
        <v>839</v>
      </c>
      <c r="S27" s="5" t="s">
        <v>121</v>
      </c>
      <c r="T27" s="4" t="s">
        <v>112</v>
      </c>
      <c r="U27" s="5" t="s">
        <v>29</v>
      </c>
      <c r="V27" s="4" t="s">
        <v>161</v>
      </c>
      <c r="W27" s="5" t="s">
        <v>39</v>
      </c>
      <c r="Z27" s="7" t="s">
        <v>370</v>
      </c>
    </row>
    <row r="28" spans="1:26" x14ac:dyDescent="0.25">
      <c r="A28" s="7" t="s">
        <v>126</v>
      </c>
      <c r="C28" s="5" t="s">
        <v>12</v>
      </c>
      <c r="D28" s="4" t="s">
        <v>17</v>
      </c>
      <c r="E28" s="5" t="s">
        <v>23</v>
      </c>
      <c r="F28" s="4" t="s">
        <v>104</v>
      </c>
      <c r="G28" s="9" t="s">
        <v>51</v>
      </c>
      <c r="H28" s="32">
        <v>44746</v>
      </c>
      <c r="I28" s="33">
        <v>44771</v>
      </c>
      <c r="J28" s="4" t="s">
        <v>56</v>
      </c>
      <c r="N28" s="4" t="s">
        <v>73</v>
      </c>
      <c r="O28" s="6">
        <v>44731</v>
      </c>
      <c r="P28" s="11">
        <v>44850</v>
      </c>
      <c r="Q28" s="9">
        <f ca="1">IF(P28="",TODAY()-O28,P28-O28)</f>
        <v>119</v>
      </c>
      <c r="R28" s="4" t="s">
        <v>41</v>
      </c>
      <c r="S28" s="5" t="s">
        <v>26</v>
      </c>
      <c r="T28" s="4" t="s">
        <v>396</v>
      </c>
      <c r="U28" s="5" t="s">
        <v>30</v>
      </c>
      <c r="W28" s="5" t="s">
        <v>38</v>
      </c>
      <c r="Z28" s="7" t="s">
        <v>397</v>
      </c>
    </row>
    <row r="29" spans="1:26" x14ac:dyDescent="0.25">
      <c r="A29" s="7" t="s">
        <v>239</v>
      </c>
      <c r="C29" s="5" t="s">
        <v>12</v>
      </c>
      <c r="D29" s="4" t="s">
        <v>15</v>
      </c>
      <c r="E29" s="5" t="s">
        <v>23</v>
      </c>
      <c r="F29" s="4" t="s">
        <v>47</v>
      </c>
      <c r="G29" s="9" t="s">
        <v>51</v>
      </c>
      <c r="H29" s="32"/>
      <c r="J29" s="4" t="s">
        <v>56</v>
      </c>
      <c r="N29" s="4" t="s">
        <v>73</v>
      </c>
      <c r="O29" s="6">
        <v>44733</v>
      </c>
      <c r="P29" s="11">
        <v>44800</v>
      </c>
      <c r="Q29" s="9">
        <f ca="1">IF(P29="",TODAY()-O29,P29-O29)</f>
        <v>67</v>
      </c>
      <c r="R29" s="4" t="s">
        <v>41</v>
      </c>
      <c r="S29" s="5" t="s">
        <v>27</v>
      </c>
      <c r="T29" s="4" t="s">
        <v>132</v>
      </c>
      <c r="U29" s="5" t="s">
        <v>30</v>
      </c>
      <c r="W29" s="5" t="s">
        <v>38</v>
      </c>
      <c r="Z29" s="7" t="s">
        <v>241</v>
      </c>
    </row>
    <row r="30" spans="1:26" x14ac:dyDescent="0.25">
      <c r="A30" s="7" t="s">
        <v>375</v>
      </c>
      <c r="C30" s="5" t="s">
        <v>12</v>
      </c>
      <c r="D30" s="4" t="s">
        <v>15</v>
      </c>
      <c r="E30" s="5" t="s">
        <v>23</v>
      </c>
      <c r="F30" s="4" t="s">
        <v>47</v>
      </c>
      <c r="G30" s="9" t="s">
        <v>50</v>
      </c>
      <c r="H30" s="32"/>
      <c r="J30" s="4" t="s">
        <v>56</v>
      </c>
      <c r="N30" s="4" t="s">
        <v>73</v>
      </c>
      <c r="O30" s="6">
        <v>44733</v>
      </c>
      <c r="P30" s="11">
        <v>44740</v>
      </c>
      <c r="Q30" s="9">
        <f ca="1">IF(P30="",TODAY()-O30,P30-O30)</f>
        <v>7</v>
      </c>
      <c r="R30" s="4" t="s">
        <v>43</v>
      </c>
      <c r="T30" s="4" t="s">
        <v>132</v>
      </c>
      <c r="U30" s="5" t="s">
        <v>30</v>
      </c>
      <c r="W30" s="5" t="s">
        <v>38</v>
      </c>
      <c r="Z30" s="7" t="s">
        <v>400</v>
      </c>
    </row>
    <row r="31" spans="1:26" x14ac:dyDescent="0.25">
      <c r="A31" s="7" t="s">
        <v>376</v>
      </c>
      <c r="C31" s="5" t="s">
        <v>12</v>
      </c>
      <c r="D31" s="4" t="s">
        <v>311</v>
      </c>
      <c r="E31" s="5" t="s">
        <v>22</v>
      </c>
      <c r="F31" s="4" t="s">
        <v>47</v>
      </c>
      <c r="G31" s="9" t="s">
        <v>51</v>
      </c>
      <c r="H31" s="32"/>
      <c r="J31" s="4" t="s">
        <v>56</v>
      </c>
      <c r="N31" s="4" t="s">
        <v>73</v>
      </c>
      <c r="O31" s="6">
        <v>44733</v>
      </c>
      <c r="P31" s="11"/>
      <c r="Q31" s="9">
        <f ca="1">IF(P31="",TODAY()-O31,P31-O31)</f>
        <v>836</v>
      </c>
      <c r="R31" s="4" t="s">
        <v>41</v>
      </c>
      <c r="T31" s="4" t="s">
        <v>132</v>
      </c>
      <c r="U31" s="5" t="s">
        <v>30</v>
      </c>
      <c r="W31" s="5" t="s">
        <v>38</v>
      </c>
      <c r="Z31" s="7" t="s">
        <v>400</v>
      </c>
    </row>
    <row r="32" spans="1:26" x14ac:dyDescent="0.25">
      <c r="A32" s="7" t="s">
        <v>128</v>
      </c>
      <c r="C32" s="5" t="s">
        <v>12</v>
      </c>
      <c r="D32" s="4" t="s">
        <v>127</v>
      </c>
      <c r="E32" s="5" t="s">
        <v>23</v>
      </c>
      <c r="F32" s="4" t="s">
        <v>129</v>
      </c>
      <c r="N32" s="4" t="s">
        <v>73</v>
      </c>
      <c r="O32" s="6">
        <v>44735</v>
      </c>
      <c r="Q32" s="9">
        <f ca="1">IF(P32="",TODAY()-O32,P32-O32)</f>
        <v>834</v>
      </c>
      <c r="S32" s="5" t="s">
        <v>26</v>
      </c>
      <c r="T32" s="4" t="s">
        <v>132</v>
      </c>
      <c r="U32" s="5" t="s">
        <v>30</v>
      </c>
      <c r="W32" s="5" t="s">
        <v>38</v>
      </c>
    </row>
    <row r="33" spans="1:26" x14ac:dyDescent="0.25">
      <c r="A33" s="7" t="s">
        <v>188</v>
      </c>
      <c r="C33" s="5" t="s">
        <v>12</v>
      </c>
      <c r="D33" s="4" t="s">
        <v>20</v>
      </c>
      <c r="E33" s="5" t="s">
        <v>23</v>
      </c>
      <c r="F33" s="4" t="s">
        <v>189</v>
      </c>
      <c r="G33" s="9" t="s">
        <v>50</v>
      </c>
      <c r="J33" s="4" t="s">
        <v>102</v>
      </c>
      <c r="O33" s="6">
        <v>44736</v>
      </c>
      <c r="P33" s="11">
        <v>44736</v>
      </c>
      <c r="Q33" s="9">
        <f ca="1">IF(P33="",TODAY()-O33,P33-O33)</f>
        <v>0</v>
      </c>
      <c r="R33" s="4" t="s">
        <v>41</v>
      </c>
      <c r="S33" s="5" t="s">
        <v>26</v>
      </c>
      <c r="U33" s="5" t="s">
        <v>31</v>
      </c>
      <c r="W33" s="5" t="s">
        <v>39</v>
      </c>
    </row>
    <row r="34" spans="1:26" x14ac:dyDescent="0.25">
      <c r="A34" s="7" t="s">
        <v>201</v>
      </c>
      <c r="C34" s="5" t="s">
        <v>12</v>
      </c>
      <c r="D34" s="4" t="s">
        <v>16</v>
      </c>
      <c r="E34" s="5" t="s">
        <v>22</v>
      </c>
      <c r="F34" s="4" t="s">
        <v>58</v>
      </c>
      <c r="G34" s="9" t="s">
        <v>51</v>
      </c>
      <c r="H34" s="32">
        <v>44751</v>
      </c>
      <c r="I34" s="33">
        <v>44779</v>
      </c>
      <c r="J34" s="4" t="s">
        <v>56</v>
      </c>
      <c r="N34" s="4" t="s">
        <v>73</v>
      </c>
      <c r="O34" s="6">
        <v>44737</v>
      </c>
      <c r="P34" s="11">
        <v>44810</v>
      </c>
      <c r="Q34" s="9">
        <f ca="1">IF(P34="",TODAY()-O34,P34-O34)</f>
        <v>73</v>
      </c>
      <c r="R34" s="4" t="s">
        <v>41</v>
      </c>
      <c r="S34" s="5" t="s">
        <v>121</v>
      </c>
      <c r="T34" s="4" t="s">
        <v>115</v>
      </c>
      <c r="U34" s="5" t="s">
        <v>32</v>
      </c>
      <c r="V34" s="4">
        <v>828</v>
      </c>
      <c r="W34" s="5" t="s">
        <v>39</v>
      </c>
      <c r="Z34" s="7" t="s">
        <v>990</v>
      </c>
    </row>
    <row r="35" spans="1:26" x14ac:dyDescent="0.25">
      <c r="A35" s="7" t="s">
        <v>202</v>
      </c>
      <c r="C35" s="5" t="s">
        <v>12</v>
      </c>
      <c r="D35" s="4" t="s">
        <v>16</v>
      </c>
      <c r="E35" s="5" t="s">
        <v>23</v>
      </c>
      <c r="F35" s="4" t="s">
        <v>58</v>
      </c>
      <c r="G35" s="9" t="s">
        <v>51</v>
      </c>
      <c r="H35" s="32">
        <v>44751</v>
      </c>
      <c r="I35" s="9" t="s">
        <v>989</v>
      </c>
      <c r="J35" s="4" t="s">
        <v>56</v>
      </c>
      <c r="N35" s="4" t="s">
        <v>73</v>
      </c>
      <c r="O35" s="6">
        <v>44737</v>
      </c>
      <c r="P35" s="11">
        <v>44802</v>
      </c>
      <c r="Q35" s="9">
        <f ca="1">IF(P35="",TODAY()-O35,P35-O35)</f>
        <v>65</v>
      </c>
      <c r="R35" s="4" t="s">
        <v>41</v>
      </c>
      <c r="S35" s="5" t="s">
        <v>121</v>
      </c>
      <c r="T35" s="4" t="s">
        <v>115</v>
      </c>
      <c r="U35" s="5" t="s">
        <v>32</v>
      </c>
      <c r="V35" s="4">
        <v>829</v>
      </c>
      <c r="W35" s="5" t="s">
        <v>39</v>
      </c>
      <c r="Z35" s="7" t="s">
        <v>990</v>
      </c>
    </row>
    <row r="36" spans="1:26" x14ac:dyDescent="0.25">
      <c r="A36" s="7" t="s">
        <v>1351</v>
      </c>
      <c r="B36" s="7" t="s">
        <v>1071</v>
      </c>
      <c r="C36" s="5" t="s">
        <v>12</v>
      </c>
      <c r="E36" s="5" t="s">
        <v>25</v>
      </c>
      <c r="F36" s="27" t="s">
        <v>175</v>
      </c>
      <c r="G36" s="9" t="s">
        <v>51</v>
      </c>
      <c r="J36" s="4" t="s">
        <v>56</v>
      </c>
      <c r="N36" s="4" t="s">
        <v>73</v>
      </c>
      <c r="O36" s="6">
        <v>44738</v>
      </c>
      <c r="P36" s="11">
        <v>45031</v>
      </c>
      <c r="Q36" s="9">
        <f ca="1">IF(P36="",TODAY()-O36,P36-O36)</f>
        <v>293</v>
      </c>
      <c r="R36" s="4" t="s">
        <v>41</v>
      </c>
      <c r="S36" s="5" t="s">
        <v>121</v>
      </c>
      <c r="T36" s="4" t="s">
        <v>112</v>
      </c>
      <c r="U36" s="5" t="s">
        <v>33</v>
      </c>
      <c r="W36" s="5" t="s">
        <v>39</v>
      </c>
    </row>
    <row r="37" spans="1:26" x14ac:dyDescent="0.25">
      <c r="A37" s="7" t="s">
        <v>133</v>
      </c>
      <c r="C37" s="5" t="s">
        <v>12</v>
      </c>
      <c r="E37" s="5" t="s">
        <v>23</v>
      </c>
      <c r="F37" s="4" t="s">
        <v>175</v>
      </c>
      <c r="G37" s="9" t="s">
        <v>51</v>
      </c>
      <c r="J37" s="4" t="s">
        <v>56</v>
      </c>
      <c r="N37" s="4" t="s">
        <v>73</v>
      </c>
      <c r="O37" s="6">
        <v>44738</v>
      </c>
      <c r="Q37" s="9">
        <f ca="1">IF(P37="",TODAY()-O37,P37-O37)</f>
        <v>831</v>
      </c>
      <c r="S37" s="5" t="s">
        <v>121</v>
      </c>
      <c r="T37" s="4" t="s">
        <v>112</v>
      </c>
      <c r="U37" s="5" t="s">
        <v>33</v>
      </c>
      <c r="W37" s="5" t="s">
        <v>39</v>
      </c>
    </row>
    <row r="38" spans="1:26" x14ac:dyDescent="0.25">
      <c r="A38" s="7" t="s">
        <v>134</v>
      </c>
      <c r="C38" s="5" t="s">
        <v>12</v>
      </c>
      <c r="E38" s="5" t="s">
        <v>23</v>
      </c>
      <c r="F38" s="4" t="s">
        <v>175</v>
      </c>
      <c r="G38" s="9" t="s">
        <v>51</v>
      </c>
      <c r="J38" s="4" t="s">
        <v>56</v>
      </c>
      <c r="N38" s="4" t="s">
        <v>73</v>
      </c>
      <c r="O38" s="6">
        <v>44738</v>
      </c>
      <c r="Q38" s="9">
        <f ca="1">IF(P38="",TODAY()-O38,P38-O38)</f>
        <v>831</v>
      </c>
      <c r="S38" s="5" t="s">
        <v>121</v>
      </c>
      <c r="T38" s="4" t="s">
        <v>112</v>
      </c>
      <c r="U38" s="5" t="s">
        <v>33</v>
      </c>
      <c r="W38" s="5" t="s">
        <v>39</v>
      </c>
    </row>
    <row r="39" spans="1:26" x14ac:dyDescent="0.25">
      <c r="A39" s="7" t="s">
        <v>714</v>
      </c>
      <c r="C39" s="5" t="s">
        <v>12</v>
      </c>
      <c r="D39" s="4" t="s">
        <v>16</v>
      </c>
      <c r="E39" s="5" t="s">
        <v>25</v>
      </c>
      <c r="F39" s="4" t="s">
        <v>175</v>
      </c>
      <c r="G39" s="9" t="s">
        <v>51</v>
      </c>
      <c r="H39" s="32">
        <v>44791</v>
      </c>
      <c r="I39" s="33">
        <v>44825</v>
      </c>
      <c r="J39" s="4" t="s">
        <v>56</v>
      </c>
      <c r="K39" s="6">
        <v>44852</v>
      </c>
      <c r="L39" s="56"/>
      <c r="M39" s="56"/>
      <c r="N39" s="4" t="s">
        <v>73</v>
      </c>
      <c r="O39" s="6">
        <v>44738</v>
      </c>
      <c r="P39" s="11">
        <v>44982</v>
      </c>
      <c r="Q39" s="9">
        <f ca="1">IF(P39="",TODAY()-O39,P39-O39)</f>
        <v>244</v>
      </c>
      <c r="R39" s="4" t="s">
        <v>41</v>
      </c>
      <c r="S39" s="5" t="s">
        <v>121</v>
      </c>
      <c r="T39" s="4" t="s">
        <v>112</v>
      </c>
      <c r="U39" s="5" t="s">
        <v>33</v>
      </c>
      <c r="W39" s="5" t="s">
        <v>39</v>
      </c>
      <c r="Z39" s="7" t="s">
        <v>715</v>
      </c>
    </row>
    <row r="40" spans="1:26" x14ac:dyDescent="0.25">
      <c r="A40" s="7" t="s">
        <v>1350</v>
      </c>
      <c r="B40" s="7" t="s">
        <v>1071</v>
      </c>
      <c r="C40" s="5" t="s">
        <v>12</v>
      </c>
      <c r="E40" s="5" t="s">
        <v>24</v>
      </c>
      <c r="F40" s="4" t="s">
        <v>175</v>
      </c>
      <c r="G40" s="9" t="s">
        <v>51</v>
      </c>
      <c r="J40" s="4" t="s">
        <v>56</v>
      </c>
      <c r="N40" s="4" t="s">
        <v>73</v>
      </c>
      <c r="O40" s="6">
        <v>44738</v>
      </c>
      <c r="P40" s="11">
        <v>45031</v>
      </c>
      <c r="Q40" s="9">
        <f ca="1">IF(P40="",TODAY()-O40,P40-O40)</f>
        <v>293</v>
      </c>
      <c r="R40" s="4" t="s">
        <v>41</v>
      </c>
      <c r="S40" s="5" t="s">
        <v>121</v>
      </c>
      <c r="T40" s="4" t="s">
        <v>112</v>
      </c>
      <c r="U40" s="5" t="s">
        <v>33</v>
      </c>
      <c r="W40" s="5" t="s">
        <v>39</v>
      </c>
    </row>
    <row r="41" spans="1:26" ht="15" customHeight="1" x14ac:dyDescent="0.25">
      <c r="A41" s="7" t="s">
        <v>135</v>
      </c>
      <c r="C41" s="5" t="s">
        <v>12</v>
      </c>
      <c r="E41" s="5" t="s">
        <v>22</v>
      </c>
      <c r="F41" s="4" t="s">
        <v>175</v>
      </c>
      <c r="G41" s="9" t="s">
        <v>51</v>
      </c>
      <c r="J41" s="4" t="s">
        <v>56</v>
      </c>
      <c r="N41" s="4" t="s">
        <v>73</v>
      </c>
      <c r="O41" s="6">
        <v>44738</v>
      </c>
      <c r="Q41" s="9">
        <f ca="1">IF(P41="",TODAY()-O41,P41-O41)</f>
        <v>831</v>
      </c>
      <c r="S41" s="5" t="s">
        <v>121</v>
      </c>
      <c r="T41" s="4" t="s">
        <v>112</v>
      </c>
      <c r="U41" s="5" t="s">
        <v>33</v>
      </c>
      <c r="W41" s="5" t="s">
        <v>39</v>
      </c>
    </row>
    <row r="42" spans="1:26" x14ac:dyDescent="0.25">
      <c r="A42" s="7" t="s">
        <v>313</v>
      </c>
      <c r="C42" s="5" t="s">
        <v>12</v>
      </c>
      <c r="D42" s="4" t="s">
        <v>311</v>
      </c>
      <c r="E42" s="5" t="s">
        <v>22</v>
      </c>
      <c r="F42" s="4" t="s">
        <v>315</v>
      </c>
      <c r="G42" s="9" t="s">
        <v>50</v>
      </c>
      <c r="J42" s="4" t="s">
        <v>56</v>
      </c>
      <c r="N42" s="4" t="s">
        <v>73</v>
      </c>
      <c r="O42" s="6">
        <v>44739</v>
      </c>
      <c r="P42" s="11">
        <v>44829</v>
      </c>
      <c r="Q42" s="9">
        <f ca="1">IF(P42="",TODAY()-O42,P42-O42)</f>
        <v>90</v>
      </c>
      <c r="R42" s="4" t="s">
        <v>43</v>
      </c>
      <c r="S42" s="5" t="s">
        <v>121</v>
      </c>
      <c r="T42" s="4" t="s">
        <v>112</v>
      </c>
      <c r="U42" s="5" t="s">
        <v>33</v>
      </c>
      <c r="W42" s="5" t="s">
        <v>39</v>
      </c>
      <c r="Z42" s="7" t="s">
        <v>312</v>
      </c>
    </row>
    <row r="43" spans="1:26" x14ac:dyDescent="0.25">
      <c r="A43" s="7" t="s">
        <v>314</v>
      </c>
      <c r="C43" s="5" t="s">
        <v>12</v>
      </c>
      <c r="D43" s="4" t="s">
        <v>16</v>
      </c>
      <c r="E43" s="5" t="s">
        <v>24</v>
      </c>
      <c r="F43" s="4" t="s">
        <v>246</v>
      </c>
      <c r="G43" s="9" t="s">
        <v>51</v>
      </c>
      <c r="N43" s="4" t="s">
        <v>73</v>
      </c>
      <c r="O43" s="6">
        <v>44739</v>
      </c>
      <c r="P43" s="11">
        <v>45273</v>
      </c>
      <c r="Q43" s="9">
        <f ca="1">IF(P43="",TODAY()-O43,P43-O43)</f>
        <v>534</v>
      </c>
      <c r="R43" s="4" t="s">
        <v>42</v>
      </c>
      <c r="S43" s="5" t="s">
        <v>121</v>
      </c>
      <c r="T43" s="4" t="s">
        <v>112</v>
      </c>
      <c r="U43" s="5" t="s">
        <v>33</v>
      </c>
      <c r="W43" s="5" t="s">
        <v>39</v>
      </c>
      <c r="Z43" s="7" t="s">
        <v>2027</v>
      </c>
    </row>
    <row r="44" spans="1:26" ht="35.25" customHeight="1" x14ac:dyDescent="0.25">
      <c r="A44" s="7" t="s">
        <v>44</v>
      </c>
      <c r="C44" s="5" t="s">
        <v>12</v>
      </c>
      <c r="D44" s="4" t="s">
        <v>20</v>
      </c>
      <c r="E44" s="5" t="s">
        <v>22</v>
      </c>
      <c r="G44" s="9" t="s">
        <v>53</v>
      </c>
      <c r="O44" s="6">
        <v>44740</v>
      </c>
      <c r="Q44" s="9">
        <f ca="1">IF(P44="",TODAY()-O44,P44-O44)</f>
        <v>829</v>
      </c>
      <c r="S44" s="5" t="s">
        <v>26</v>
      </c>
      <c r="U44" s="5" t="s">
        <v>29</v>
      </c>
      <c r="W44" s="5" t="s">
        <v>39</v>
      </c>
    </row>
    <row r="45" spans="1:26" x14ac:dyDescent="0.25">
      <c r="A45" s="7" t="s">
        <v>57</v>
      </c>
      <c r="C45" s="5" t="s">
        <v>12</v>
      </c>
      <c r="D45" s="4" t="s">
        <v>16</v>
      </c>
      <c r="F45" s="4" t="s">
        <v>35</v>
      </c>
      <c r="O45" s="6">
        <v>44746</v>
      </c>
      <c r="P45" s="11">
        <v>44747</v>
      </c>
      <c r="Q45" s="9">
        <f ca="1">IF(P45="",TODAY()-O45,P45-O45)</f>
        <v>1</v>
      </c>
      <c r="R45" s="4" t="s">
        <v>43</v>
      </c>
      <c r="S45" s="5" t="s">
        <v>26</v>
      </c>
      <c r="W45" s="5" t="s">
        <v>39</v>
      </c>
      <c r="Z45" s="7" t="s">
        <v>36</v>
      </c>
    </row>
    <row r="46" spans="1:26" x14ac:dyDescent="0.25">
      <c r="A46" s="7" t="s">
        <v>34</v>
      </c>
      <c r="C46" s="5" t="s">
        <v>12</v>
      </c>
      <c r="D46" s="4" t="s">
        <v>16</v>
      </c>
      <c r="F46" s="4" t="s">
        <v>35</v>
      </c>
      <c r="O46" s="6">
        <v>44746</v>
      </c>
      <c r="P46" s="11">
        <v>44752</v>
      </c>
      <c r="Q46" s="9">
        <f ca="1">IF(P46="",TODAY()-O46,P46-O46)</f>
        <v>6</v>
      </c>
      <c r="R46" s="4" t="s">
        <v>42</v>
      </c>
      <c r="S46" s="5" t="s">
        <v>26</v>
      </c>
      <c r="U46" s="5" t="s">
        <v>30</v>
      </c>
      <c r="W46" s="5" t="s">
        <v>39</v>
      </c>
      <c r="Z46" s="7" t="s">
        <v>36</v>
      </c>
    </row>
    <row r="47" spans="1:26" x14ac:dyDescent="0.25">
      <c r="A47" s="7" t="s">
        <v>1001</v>
      </c>
      <c r="C47" s="5" t="s">
        <v>12</v>
      </c>
      <c r="D47" s="4" t="s">
        <v>14</v>
      </c>
      <c r="E47" s="5" t="s">
        <v>23</v>
      </c>
      <c r="F47" s="4" t="s">
        <v>246</v>
      </c>
      <c r="G47" s="9" t="s">
        <v>51</v>
      </c>
      <c r="H47" s="32">
        <v>44756</v>
      </c>
      <c r="I47" s="33">
        <v>44784</v>
      </c>
      <c r="J47" s="4" t="s">
        <v>56</v>
      </c>
      <c r="N47" s="4" t="s">
        <v>73</v>
      </c>
      <c r="O47" s="6">
        <v>44750</v>
      </c>
      <c r="P47" s="11">
        <v>44801</v>
      </c>
      <c r="Q47" s="9">
        <f ca="1">IF(P47="",TODAY()-O47,P47-O47)</f>
        <v>51</v>
      </c>
      <c r="R47" s="4" t="s">
        <v>41</v>
      </c>
      <c r="S47" s="5" t="s">
        <v>26</v>
      </c>
      <c r="T47" s="4" t="s">
        <v>114</v>
      </c>
      <c r="U47" s="5" t="s">
        <v>33</v>
      </c>
      <c r="W47" s="5" t="s">
        <v>39</v>
      </c>
      <c r="Z47" s="7" t="s">
        <v>1002</v>
      </c>
    </row>
    <row r="48" spans="1:26" x14ac:dyDescent="0.25">
      <c r="A48" s="7" t="s">
        <v>993</v>
      </c>
      <c r="C48" s="5" t="s">
        <v>12</v>
      </c>
      <c r="D48" s="4" t="s">
        <v>14</v>
      </c>
      <c r="E48" s="5" t="s">
        <v>22</v>
      </c>
      <c r="F48" s="4" t="s">
        <v>246</v>
      </c>
      <c r="G48" s="9" t="s">
        <v>51</v>
      </c>
      <c r="H48" s="32">
        <v>44756</v>
      </c>
      <c r="I48" s="33">
        <v>44784</v>
      </c>
      <c r="J48" s="4" t="s">
        <v>56</v>
      </c>
      <c r="N48" s="4" t="s">
        <v>73</v>
      </c>
      <c r="O48" s="6">
        <v>44750</v>
      </c>
      <c r="P48" s="11">
        <v>44794</v>
      </c>
      <c r="Q48" s="9">
        <f ca="1">IF(P48="",TODAY()-O48,P48-O48)</f>
        <v>44</v>
      </c>
      <c r="R48" s="4" t="s">
        <v>41</v>
      </c>
      <c r="S48" s="5" t="s">
        <v>26</v>
      </c>
      <c r="T48" s="4" t="s">
        <v>114</v>
      </c>
      <c r="U48" s="5" t="s">
        <v>33</v>
      </c>
      <c r="W48" s="5" t="s">
        <v>39</v>
      </c>
    </row>
    <row r="49" spans="1:26" x14ac:dyDescent="0.25">
      <c r="A49" s="7" t="s">
        <v>1005</v>
      </c>
      <c r="C49" s="5" t="s">
        <v>12</v>
      </c>
      <c r="D49" s="4" t="s">
        <v>19</v>
      </c>
      <c r="E49" s="5" t="s">
        <v>22</v>
      </c>
      <c r="F49" s="4" t="s">
        <v>246</v>
      </c>
      <c r="G49" s="9" t="s">
        <v>51</v>
      </c>
      <c r="H49" s="32">
        <v>44756</v>
      </c>
      <c r="I49" s="33">
        <v>44784</v>
      </c>
      <c r="J49" s="4" t="s">
        <v>56</v>
      </c>
      <c r="N49" s="4" t="s">
        <v>73</v>
      </c>
      <c r="O49" s="6">
        <v>44750</v>
      </c>
      <c r="P49" s="11">
        <v>44794</v>
      </c>
      <c r="Q49" s="9">
        <f ca="1">IF(P49="",TODAY()-O49,P49-O49)</f>
        <v>44</v>
      </c>
      <c r="R49" s="4" t="s">
        <v>41</v>
      </c>
      <c r="S49" s="5" t="s">
        <v>26</v>
      </c>
      <c r="T49" s="4" t="s">
        <v>114</v>
      </c>
      <c r="U49" s="5" t="s">
        <v>33</v>
      </c>
      <c r="W49" s="5" t="s">
        <v>39</v>
      </c>
      <c r="Z49" s="7" t="s">
        <v>1002</v>
      </c>
    </row>
    <row r="50" spans="1:26" x14ac:dyDescent="0.25">
      <c r="A50" s="7" t="s">
        <v>1006</v>
      </c>
      <c r="C50" s="5" t="s">
        <v>12</v>
      </c>
      <c r="D50" s="4" t="s">
        <v>20</v>
      </c>
      <c r="E50" s="5" t="s">
        <v>22</v>
      </c>
      <c r="F50" s="4" t="s">
        <v>246</v>
      </c>
      <c r="G50" s="9" t="s">
        <v>51</v>
      </c>
      <c r="H50" s="32">
        <v>44756</v>
      </c>
      <c r="I50" s="33">
        <v>44784</v>
      </c>
      <c r="J50" s="4" t="s">
        <v>56</v>
      </c>
      <c r="N50" s="4" t="s">
        <v>73</v>
      </c>
      <c r="O50" s="6">
        <v>44750</v>
      </c>
      <c r="P50" s="11">
        <v>44794</v>
      </c>
      <c r="Q50" s="9">
        <f ca="1">IF(P50="",TODAY()-O50,P50-O50)</f>
        <v>44</v>
      </c>
      <c r="R50" s="4" t="s">
        <v>41</v>
      </c>
      <c r="S50" s="5" t="s">
        <v>26</v>
      </c>
      <c r="T50" s="4" t="s">
        <v>114</v>
      </c>
      <c r="U50" s="5" t="s">
        <v>33</v>
      </c>
      <c r="W50" s="5" t="s">
        <v>39</v>
      </c>
      <c r="Z50" s="7" t="s">
        <v>1002</v>
      </c>
    </row>
    <row r="51" spans="1:26" x14ac:dyDescent="0.25">
      <c r="A51" s="7" t="s">
        <v>183</v>
      </c>
      <c r="C51" s="5" t="s">
        <v>12</v>
      </c>
      <c r="D51" s="4" t="s">
        <v>20</v>
      </c>
      <c r="E51" s="5" t="s">
        <v>22</v>
      </c>
      <c r="F51" s="4" t="s">
        <v>267</v>
      </c>
      <c r="G51" s="9" t="s">
        <v>51</v>
      </c>
      <c r="J51" s="4" t="s">
        <v>56</v>
      </c>
      <c r="N51" s="4" t="s">
        <v>73</v>
      </c>
      <c r="O51" s="6">
        <v>44752</v>
      </c>
      <c r="Q51" s="9">
        <f ca="1">IF(P51="",TODAY()-O51,P51-O51)</f>
        <v>817</v>
      </c>
      <c r="S51" s="5" t="s">
        <v>26</v>
      </c>
      <c r="T51" s="4" t="s">
        <v>187</v>
      </c>
      <c r="U51" s="5" t="s">
        <v>30</v>
      </c>
      <c r="W51" s="5" t="s">
        <v>39</v>
      </c>
      <c r="Z51" s="7" t="s">
        <v>185</v>
      </c>
    </row>
    <row r="52" spans="1:26" x14ac:dyDescent="0.25">
      <c r="A52" s="7" t="s">
        <v>184</v>
      </c>
      <c r="C52" s="5" t="s">
        <v>12</v>
      </c>
      <c r="D52" s="4" t="s">
        <v>20</v>
      </c>
      <c r="E52" s="5" t="s">
        <v>22</v>
      </c>
      <c r="F52" s="4" t="s">
        <v>267</v>
      </c>
      <c r="G52" s="9" t="s">
        <v>51</v>
      </c>
      <c r="J52" s="4" t="s">
        <v>56</v>
      </c>
      <c r="N52" s="4" t="s">
        <v>73</v>
      </c>
      <c r="O52" s="6">
        <v>44753</v>
      </c>
      <c r="Q52" s="9">
        <f ca="1">IF(P52="",TODAY()-O52,P52-O52)</f>
        <v>816</v>
      </c>
      <c r="S52" s="5" t="s">
        <v>26</v>
      </c>
      <c r="T52" s="4" t="s">
        <v>187</v>
      </c>
      <c r="U52" s="5" t="s">
        <v>30</v>
      </c>
      <c r="W52" s="5" t="s">
        <v>39</v>
      </c>
      <c r="Z52" s="7" t="s">
        <v>185</v>
      </c>
    </row>
    <row r="53" spans="1:26" s="13" customFormat="1" ht="30" x14ac:dyDescent="0.25">
      <c r="A53" s="28" t="s">
        <v>81</v>
      </c>
      <c r="B53" s="28"/>
      <c r="C53" s="14" t="s">
        <v>12</v>
      </c>
      <c r="D53" s="13" t="s">
        <v>15</v>
      </c>
      <c r="E53" s="14" t="s">
        <v>23</v>
      </c>
      <c r="F53" s="13" t="s">
        <v>82</v>
      </c>
      <c r="G53" s="15" t="s">
        <v>51</v>
      </c>
      <c r="H53" s="35">
        <v>44764</v>
      </c>
      <c r="I53" s="34">
        <v>44792</v>
      </c>
      <c r="J53" s="13" t="s">
        <v>101</v>
      </c>
      <c r="K53" s="14"/>
      <c r="L53" s="28"/>
      <c r="M53" s="28"/>
      <c r="N53" s="13" t="s">
        <v>73</v>
      </c>
      <c r="O53" s="16">
        <v>44758</v>
      </c>
      <c r="P53" s="36">
        <v>44807</v>
      </c>
      <c r="Q53" s="9">
        <f ca="1">IF(P53="",TODAY()-O53,P53-O53)</f>
        <v>49</v>
      </c>
      <c r="R53" s="13" t="s">
        <v>41</v>
      </c>
      <c r="S53" s="14" t="s">
        <v>27</v>
      </c>
      <c r="T53" s="13" t="s">
        <v>113</v>
      </c>
      <c r="U53" s="14" t="s">
        <v>29</v>
      </c>
      <c r="V53" s="13">
        <v>814</v>
      </c>
      <c r="W53" s="14" t="s">
        <v>39</v>
      </c>
      <c r="X53" s="39"/>
      <c r="Y53" s="43"/>
      <c r="Z53" s="17" t="s">
        <v>215</v>
      </c>
    </row>
    <row r="54" spans="1:26" s="13" customFormat="1" x14ac:dyDescent="0.25">
      <c r="A54" s="28" t="s">
        <v>173</v>
      </c>
      <c r="B54" s="28"/>
      <c r="C54" s="14" t="s">
        <v>12</v>
      </c>
      <c r="D54" s="13" t="s">
        <v>174</v>
      </c>
      <c r="E54" s="14" t="s">
        <v>22</v>
      </c>
      <c r="F54" s="13" t="s">
        <v>175</v>
      </c>
      <c r="G54" s="15" t="s">
        <v>50</v>
      </c>
      <c r="H54" s="31"/>
      <c r="I54" s="15"/>
      <c r="J54" s="13" t="s">
        <v>56</v>
      </c>
      <c r="K54" s="14"/>
      <c r="L54" s="28"/>
      <c r="M54" s="28"/>
      <c r="N54" s="13" t="s">
        <v>73</v>
      </c>
      <c r="O54" s="16">
        <v>44758</v>
      </c>
      <c r="Q54" s="9">
        <f ca="1">IF(P54="",TODAY()-O54,P54-O54)</f>
        <v>811</v>
      </c>
      <c r="S54" s="14" t="s">
        <v>26</v>
      </c>
      <c r="T54" s="13" t="s">
        <v>176</v>
      </c>
      <c r="U54" s="14" t="s">
        <v>30</v>
      </c>
      <c r="W54" s="14" t="s">
        <v>39</v>
      </c>
      <c r="X54" s="39"/>
      <c r="Y54" s="43"/>
      <c r="Z54" s="28" t="s">
        <v>190</v>
      </c>
    </row>
    <row r="55" spans="1:26" ht="30" x14ac:dyDescent="0.25">
      <c r="A55" s="7" t="s">
        <v>242</v>
      </c>
      <c r="C55" s="5" t="s">
        <v>12</v>
      </c>
      <c r="D55" s="4" t="s">
        <v>17</v>
      </c>
      <c r="E55" s="5" t="s">
        <v>22</v>
      </c>
      <c r="F55" s="4" t="s">
        <v>100</v>
      </c>
      <c r="G55" s="9" t="s">
        <v>51</v>
      </c>
      <c r="H55" s="32">
        <v>44761</v>
      </c>
      <c r="I55" s="33">
        <v>44789</v>
      </c>
      <c r="J55" s="4" t="s">
        <v>101</v>
      </c>
      <c r="N55" s="4" t="s">
        <v>73</v>
      </c>
      <c r="O55" s="6">
        <v>44760</v>
      </c>
      <c r="P55" s="11">
        <v>44832</v>
      </c>
      <c r="Q55" s="9">
        <f ca="1">IF(P55="",TODAY()-O55,P55-O55)</f>
        <v>72</v>
      </c>
      <c r="R55" s="4" t="s">
        <v>41</v>
      </c>
      <c r="S55" s="5" t="s">
        <v>26</v>
      </c>
      <c r="T55" s="4" t="s">
        <v>132</v>
      </c>
      <c r="U55" s="5" t="s">
        <v>29</v>
      </c>
      <c r="V55" s="4">
        <v>815</v>
      </c>
      <c r="W55" s="5" t="s">
        <v>39</v>
      </c>
      <c r="Z55" s="12" t="s">
        <v>203</v>
      </c>
    </row>
    <row r="56" spans="1:26" ht="30" x14ac:dyDescent="0.25">
      <c r="A56" s="7" t="s">
        <v>103</v>
      </c>
      <c r="C56" s="5" t="s">
        <v>12</v>
      </c>
      <c r="E56" s="5" t="s">
        <v>22</v>
      </c>
      <c r="F56" s="4" t="s">
        <v>104</v>
      </c>
      <c r="N56" s="4" t="s">
        <v>73</v>
      </c>
      <c r="O56" s="6">
        <v>44761</v>
      </c>
      <c r="P56" s="11">
        <v>44768</v>
      </c>
      <c r="Q56" s="9">
        <f ca="1">IF(P56="",TODAY()-O56,P56-O56)</f>
        <v>7</v>
      </c>
      <c r="R56" s="4" t="s">
        <v>43</v>
      </c>
      <c r="S56" s="5" t="s">
        <v>26</v>
      </c>
      <c r="T56" s="4" t="s">
        <v>212</v>
      </c>
      <c r="W56" s="5" t="s">
        <v>38</v>
      </c>
      <c r="Z56" s="12" t="s">
        <v>106</v>
      </c>
    </row>
    <row r="57" spans="1:26" x14ac:dyDescent="0.25">
      <c r="A57" s="7" t="s">
        <v>103</v>
      </c>
      <c r="C57" s="5" t="s">
        <v>12</v>
      </c>
      <c r="E57" s="5" t="s">
        <v>23</v>
      </c>
      <c r="F57" s="4" t="s">
        <v>104</v>
      </c>
      <c r="N57" s="4" t="s">
        <v>73</v>
      </c>
      <c r="O57" s="6">
        <v>44761</v>
      </c>
      <c r="P57" s="11">
        <v>44773</v>
      </c>
      <c r="Q57" s="9">
        <f ca="1">IF(P57="",TODAY()-O57,P57-O57)</f>
        <v>12</v>
      </c>
      <c r="R57" s="4" t="s">
        <v>43</v>
      </c>
      <c r="S57" s="5" t="s">
        <v>26</v>
      </c>
      <c r="T57" s="4" t="s">
        <v>212</v>
      </c>
      <c r="W57" s="5" t="s">
        <v>38</v>
      </c>
      <c r="Z57" s="7" t="s">
        <v>105</v>
      </c>
    </row>
    <row r="58" spans="1:26" x14ac:dyDescent="0.25">
      <c r="A58" s="7" t="s">
        <v>103</v>
      </c>
      <c r="C58" s="5" t="s">
        <v>12</v>
      </c>
      <c r="F58" s="4" t="s">
        <v>104</v>
      </c>
      <c r="G58" s="9" t="s">
        <v>51</v>
      </c>
      <c r="N58" s="4" t="s">
        <v>73</v>
      </c>
      <c r="O58" s="6">
        <v>44761</v>
      </c>
      <c r="Q58" s="9">
        <f ca="1">IF(P58="",TODAY()-O58,P58-O58)</f>
        <v>808</v>
      </c>
      <c r="S58" s="5" t="s">
        <v>26</v>
      </c>
      <c r="T58" s="4" t="s">
        <v>212</v>
      </c>
      <c r="U58" s="5" t="s">
        <v>45</v>
      </c>
      <c r="W58" s="5" t="s">
        <v>38</v>
      </c>
      <c r="Z58" s="7" t="s">
        <v>105</v>
      </c>
    </row>
    <row r="59" spans="1:26" x14ac:dyDescent="0.25">
      <c r="A59" s="7" t="s">
        <v>235</v>
      </c>
      <c r="C59" s="5" t="s">
        <v>12</v>
      </c>
      <c r="D59" s="4" t="s">
        <v>16</v>
      </c>
      <c r="E59" s="5" t="s">
        <v>22</v>
      </c>
      <c r="F59" s="4" t="s">
        <v>237</v>
      </c>
      <c r="G59" s="9" t="s">
        <v>50</v>
      </c>
      <c r="H59" s="32">
        <v>44819</v>
      </c>
      <c r="I59" s="33">
        <v>44841</v>
      </c>
      <c r="J59" s="4" t="s">
        <v>56</v>
      </c>
      <c r="N59" s="4" t="s">
        <v>73</v>
      </c>
      <c r="O59" s="6">
        <v>44768</v>
      </c>
      <c r="P59" s="11">
        <v>44849</v>
      </c>
      <c r="Q59" s="9">
        <f ca="1">IF(P59="",TODAY()-O59,P59-O59)</f>
        <v>81</v>
      </c>
      <c r="R59" s="4" t="s">
        <v>41</v>
      </c>
      <c r="S59" s="5" t="s">
        <v>121</v>
      </c>
      <c r="T59" s="4" t="s">
        <v>199</v>
      </c>
      <c r="U59" s="5" t="s">
        <v>30</v>
      </c>
      <c r="W59" s="5" t="s">
        <v>38</v>
      </c>
      <c r="Z59" s="7" t="s">
        <v>374</v>
      </c>
    </row>
    <row r="60" spans="1:26" x14ac:dyDescent="0.25">
      <c r="A60" s="7" t="s">
        <v>236</v>
      </c>
      <c r="C60" s="5" t="s">
        <v>12</v>
      </c>
      <c r="D60" s="4" t="s">
        <v>16</v>
      </c>
      <c r="E60" s="5" t="s">
        <v>22</v>
      </c>
      <c r="F60" s="4" t="s">
        <v>237</v>
      </c>
      <c r="G60" s="9" t="s">
        <v>50</v>
      </c>
      <c r="H60" s="32">
        <v>44819</v>
      </c>
      <c r="I60" s="33">
        <v>44841</v>
      </c>
      <c r="J60" s="4" t="s">
        <v>56</v>
      </c>
      <c r="N60" s="4" t="s">
        <v>73</v>
      </c>
      <c r="O60" s="6">
        <v>44768</v>
      </c>
      <c r="P60" s="11">
        <v>44849</v>
      </c>
      <c r="Q60" s="9">
        <f ca="1">IF(P60="",TODAY()-O60,P60-O60)</f>
        <v>81</v>
      </c>
      <c r="R60" s="4" t="s">
        <v>41</v>
      </c>
      <c r="S60" s="5" t="s">
        <v>121</v>
      </c>
      <c r="T60" s="4" t="s">
        <v>199</v>
      </c>
      <c r="U60" s="5" t="s">
        <v>30</v>
      </c>
      <c r="W60" s="5" t="s">
        <v>38</v>
      </c>
      <c r="Z60" s="7" t="s">
        <v>374</v>
      </c>
    </row>
    <row r="61" spans="1:26" x14ac:dyDescent="0.25">
      <c r="A61" s="7" t="s">
        <v>329</v>
      </c>
      <c r="C61" s="5" t="s">
        <v>12</v>
      </c>
      <c r="D61" s="4" t="s">
        <v>17</v>
      </c>
      <c r="E61" s="5" t="s">
        <v>23</v>
      </c>
      <c r="F61" s="4" t="s">
        <v>200</v>
      </c>
      <c r="G61" s="9" t="s">
        <v>53</v>
      </c>
      <c r="N61" s="4" t="s">
        <v>73</v>
      </c>
      <c r="O61" s="6">
        <v>44772</v>
      </c>
      <c r="P61" s="11">
        <v>44838</v>
      </c>
      <c r="Q61" s="9">
        <f ca="1">IF(P61="",TODAY()-O61,P61-O61)</f>
        <v>66</v>
      </c>
      <c r="R61" s="4" t="s">
        <v>43</v>
      </c>
      <c r="S61" s="5" t="s">
        <v>121</v>
      </c>
      <c r="T61" s="4" t="s">
        <v>112</v>
      </c>
      <c r="U61" s="5" t="s">
        <v>29</v>
      </c>
      <c r="V61" s="4">
        <v>849</v>
      </c>
      <c r="W61" s="5" t="s">
        <v>39</v>
      </c>
      <c r="Z61" s="7" t="s">
        <v>330</v>
      </c>
    </row>
    <row r="62" spans="1:26" x14ac:dyDescent="0.25">
      <c r="A62" s="7" t="s">
        <v>192</v>
      </c>
      <c r="C62" s="5" t="s">
        <v>12</v>
      </c>
      <c r="D62" s="4" t="s">
        <v>15</v>
      </c>
      <c r="E62" s="5" t="s">
        <v>23</v>
      </c>
      <c r="F62" s="4" t="s">
        <v>193</v>
      </c>
      <c r="G62" s="9" t="s">
        <v>50</v>
      </c>
      <c r="J62" s="4" t="s">
        <v>56</v>
      </c>
      <c r="N62" s="4" t="s">
        <v>73</v>
      </c>
      <c r="O62" s="6">
        <v>44774</v>
      </c>
      <c r="P62" s="11">
        <v>44784</v>
      </c>
      <c r="Q62" s="9">
        <f ca="1">IF(P62="",TODAY()-O62,P62-O62)</f>
        <v>10</v>
      </c>
      <c r="R62" s="4" t="s">
        <v>42</v>
      </c>
      <c r="S62" s="5" t="s">
        <v>27</v>
      </c>
      <c r="T62" s="4" t="s">
        <v>38</v>
      </c>
      <c r="U62" s="5" t="s">
        <v>30</v>
      </c>
      <c r="W62" s="5" t="s">
        <v>39</v>
      </c>
      <c r="Z62" s="7" t="s">
        <v>204</v>
      </c>
    </row>
    <row r="63" spans="1:26" x14ac:dyDescent="0.25">
      <c r="A63" s="7" t="s">
        <v>258</v>
      </c>
      <c r="C63" s="5" t="s">
        <v>12</v>
      </c>
      <c r="D63" s="4" t="s">
        <v>14</v>
      </c>
      <c r="E63" s="5" t="s">
        <v>22</v>
      </c>
      <c r="F63" s="4" t="s">
        <v>194</v>
      </c>
      <c r="G63" s="9" t="s">
        <v>51</v>
      </c>
      <c r="H63" s="32">
        <v>44806</v>
      </c>
      <c r="I63" s="33">
        <v>44830</v>
      </c>
      <c r="J63" s="4" t="s">
        <v>101</v>
      </c>
      <c r="K63" s="6">
        <v>44830</v>
      </c>
      <c r="L63" s="56"/>
      <c r="M63" s="56"/>
      <c r="N63" s="4" t="s">
        <v>73</v>
      </c>
      <c r="O63" s="6">
        <v>44774</v>
      </c>
      <c r="Q63" s="9">
        <f ca="1">IF(P63="",TODAY()-O63,P63-O63)</f>
        <v>795</v>
      </c>
      <c r="S63" s="5" t="s">
        <v>26</v>
      </c>
      <c r="T63" s="4" t="s">
        <v>148</v>
      </c>
      <c r="U63" s="5" t="s">
        <v>29</v>
      </c>
      <c r="V63" s="4">
        <v>821</v>
      </c>
      <c r="W63" s="5" t="s">
        <v>39</v>
      </c>
      <c r="Z63" s="7" t="s">
        <v>259</v>
      </c>
    </row>
    <row r="64" spans="1:26" x14ac:dyDescent="0.25">
      <c r="A64" s="7" t="s">
        <v>1970</v>
      </c>
      <c r="C64" s="5" t="s">
        <v>12</v>
      </c>
      <c r="D64" s="4" t="s">
        <v>16</v>
      </c>
      <c r="E64" s="5" t="s">
        <v>23</v>
      </c>
      <c r="F64" s="4" t="s">
        <v>156</v>
      </c>
      <c r="G64" s="9" t="s">
        <v>51</v>
      </c>
      <c r="J64" s="4" t="s">
        <v>56</v>
      </c>
      <c r="K64" s="6">
        <v>44833</v>
      </c>
      <c r="L64" s="56"/>
      <c r="M64" s="56"/>
      <c r="N64" s="4" t="s">
        <v>73</v>
      </c>
      <c r="O64" s="6">
        <v>44779</v>
      </c>
      <c r="P64" s="11">
        <v>45093</v>
      </c>
      <c r="Q64" s="9">
        <f ca="1">IF(P64="",TODAY()-O64,P64-O64)</f>
        <v>314</v>
      </c>
      <c r="R64" s="4" t="s">
        <v>42</v>
      </c>
      <c r="S64" s="5" t="s">
        <v>26</v>
      </c>
      <c r="T64" s="4" t="s">
        <v>636</v>
      </c>
      <c r="U64" s="5" t="s">
        <v>30</v>
      </c>
      <c r="V64" s="4">
        <v>913</v>
      </c>
      <c r="W64" s="5" t="s">
        <v>38</v>
      </c>
      <c r="Z64" s="7" t="s">
        <v>369</v>
      </c>
    </row>
    <row r="65" spans="1:26" x14ac:dyDescent="0.25">
      <c r="A65" s="7" t="s">
        <v>995</v>
      </c>
      <c r="C65" s="5" t="s">
        <v>12</v>
      </c>
      <c r="D65" s="4" t="s">
        <v>17</v>
      </c>
      <c r="E65" s="5" t="s">
        <v>23</v>
      </c>
      <c r="F65" s="4" t="s">
        <v>195</v>
      </c>
      <c r="G65" s="9" t="s">
        <v>51</v>
      </c>
      <c r="H65" s="32">
        <v>44795</v>
      </c>
      <c r="I65" s="33">
        <v>44816</v>
      </c>
      <c r="J65" s="4" t="s">
        <v>101</v>
      </c>
      <c r="N65" s="4" t="s">
        <v>73</v>
      </c>
      <c r="O65" s="6">
        <v>44780</v>
      </c>
      <c r="P65" s="11">
        <v>44816</v>
      </c>
      <c r="Q65" s="9">
        <f ca="1">IF(P65="",TODAY()-O65,P65-O65)</f>
        <v>36</v>
      </c>
      <c r="R65" s="4" t="s">
        <v>41</v>
      </c>
      <c r="S65" s="5" t="s">
        <v>121</v>
      </c>
      <c r="T65" s="4" t="s">
        <v>199</v>
      </c>
      <c r="U65" s="5" t="s">
        <v>29</v>
      </c>
      <c r="V65" s="4">
        <v>835</v>
      </c>
      <c r="W65" s="5" t="s">
        <v>39</v>
      </c>
      <c r="Z65" s="7" t="s">
        <v>997</v>
      </c>
    </row>
    <row r="66" spans="1:26" x14ac:dyDescent="0.25">
      <c r="A66" s="7" t="s">
        <v>996</v>
      </c>
      <c r="C66" s="5" t="s">
        <v>12</v>
      </c>
      <c r="D66" s="4" t="s">
        <v>16</v>
      </c>
      <c r="E66" s="5" t="s">
        <v>23</v>
      </c>
      <c r="F66" s="4" t="s">
        <v>195</v>
      </c>
      <c r="G66" s="9" t="s">
        <v>51</v>
      </c>
      <c r="H66" s="32">
        <v>44795</v>
      </c>
      <c r="I66" s="33">
        <v>44795</v>
      </c>
      <c r="J66" s="4" t="s">
        <v>101</v>
      </c>
      <c r="N66" s="4" t="s">
        <v>73</v>
      </c>
      <c r="O66" s="6">
        <v>44780</v>
      </c>
      <c r="P66" s="11">
        <v>44816</v>
      </c>
      <c r="Q66" s="9">
        <f ca="1">IF(P66="",TODAY()-O66,P66-O66)</f>
        <v>36</v>
      </c>
      <c r="R66" s="4" t="s">
        <v>41</v>
      </c>
      <c r="S66" s="5" t="s">
        <v>121</v>
      </c>
      <c r="T66" s="4" t="s">
        <v>199</v>
      </c>
      <c r="U66" s="5" t="s">
        <v>29</v>
      </c>
      <c r="V66" s="4">
        <v>836</v>
      </c>
      <c r="W66" s="5" t="s">
        <v>39</v>
      </c>
      <c r="Z66" s="7" t="s">
        <v>997</v>
      </c>
    </row>
    <row r="67" spans="1:26" x14ac:dyDescent="0.25">
      <c r="A67" s="7" t="s">
        <v>231</v>
      </c>
      <c r="C67" s="5" t="s">
        <v>12</v>
      </c>
      <c r="D67" s="4" t="s">
        <v>18</v>
      </c>
      <c r="F67" s="4" t="s">
        <v>47</v>
      </c>
      <c r="N67" s="4" t="s">
        <v>73</v>
      </c>
      <c r="O67" s="6">
        <v>44784</v>
      </c>
      <c r="P67" s="11">
        <v>44798</v>
      </c>
      <c r="Q67" s="9">
        <f ca="1">IF(P67="",TODAY()-O67,P67-O67)</f>
        <v>14</v>
      </c>
      <c r="R67" s="4" t="s">
        <v>43</v>
      </c>
      <c r="S67" s="5" t="s">
        <v>26</v>
      </c>
      <c r="T67" s="4" t="s">
        <v>38</v>
      </c>
      <c r="U67" s="5" t="s">
        <v>30</v>
      </c>
      <c r="W67" s="5" t="s">
        <v>38</v>
      </c>
      <c r="Z67" s="7" t="s">
        <v>400</v>
      </c>
    </row>
    <row r="68" spans="1:26" x14ac:dyDescent="0.25">
      <c r="A68" s="7" t="s">
        <v>232</v>
      </c>
      <c r="C68" s="5" t="s">
        <v>12</v>
      </c>
      <c r="D68" s="4" t="s">
        <v>20</v>
      </c>
      <c r="F68" s="4" t="s">
        <v>47</v>
      </c>
      <c r="N68" s="4" t="s">
        <v>73</v>
      </c>
      <c r="O68" s="6">
        <v>44784</v>
      </c>
      <c r="P68" s="11">
        <v>44817</v>
      </c>
      <c r="Q68" s="9">
        <f ca="1">IF(P68="",TODAY()-O68,P68-O68)</f>
        <v>33</v>
      </c>
      <c r="R68" s="4" t="s">
        <v>41</v>
      </c>
      <c r="S68" s="5" t="s">
        <v>26</v>
      </c>
      <c r="T68" s="4" t="s">
        <v>38</v>
      </c>
      <c r="U68" s="5" t="s">
        <v>30</v>
      </c>
      <c r="W68" s="5" t="s">
        <v>38</v>
      </c>
      <c r="Z68" s="7" t="s">
        <v>400</v>
      </c>
    </row>
    <row r="69" spans="1:26" x14ac:dyDescent="0.25">
      <c r="A69" s="7" t="s">
        <v>233</v>
      </c>
      <c r="C69" s="5" t="s">
        <v>12</v>
      </c>
      <c r="D69" s="4" t="s">
        <v>17</v>
      </c>
      <c r="F69" s="4" t="s">
        <v>47</v>
      </c>
      <c r="N69" s="4" t="s">
        <v>73</v>
      </c>
      <c r="O69" s="6">
        <v>44784</v>
      </c>
      <c r="P69" s="11">
        <v>44792</v>
      </c>
      <c r="Q69" s="9">
        <f ca="1">IF(P69="",TODAY()-O69,P69-O69)</f>
        <v>8</v>
      </c>
      <c r="R69" s="4" t="s">
        <v>43</v>
      </c>
      <c r="S69" s="5" t="s">
        <v>26</v>
      </c>
      <c r="T69" s="4" t="s">
        <v>38</v>
      </c>
      <c r="U69" s="5" t="s">
        <v>30</v>
      </c>
      <c r="W69" s="5" t="s">
        <v>38</v>
      </c>
      <c r="Z69" s="7" t="s">
        <v>400</v>
      </c>
    </row>
    <row r="70" spans="1:26" x14ac:dyDescent="0.25">
      <c r="A70" s="7" t="s">
        <v>260</v>
      </c>
      <c r="C70" s="5" t="s">
        <v>12</v>
      </c>
      <c r="D70" s="4" t="s">
        <v>18</v>
      </c>
      <c r="E70" s="5" t="s">
        <v>22</v>
      </c>
      <c r="F70" s="4" t="s">
        <v>194</v>
      </c>
      <c r="G70" s="9" t="s">
        <v>51</v>
      </c>
      <c r="H70" s="32">
        <v>44797</v>
      </c>
      <c r="I70" s="33">
        <v>44819</v>
      </c>
      <c r="J70" s="4" t="s">
        <v>101</v>
      </c>
      <c r="N70" s="4" t="s">
        <v>73</v>
      </c>
      <c r="O70" s="6">
        <v>44788</v>
      </c>
      <c r="P70" s="11">
        <v>44823</v>
      </c>
      <c r="Q70" s="9">
        <f ca="1">IF(P70="",TODAY()-O70,P70-O70)</f>
        <v>35</v>
      </c>
      <c r="R70" s="4" t="s">
        <v>41</v>
      </c>
      <c r="S70" s="5" t="s">
        <v>26</v>
      </c>
      <c r="T70" s="4" t="s">
        <v>38</v>
      </c>
      <c r="U70" s="5" t="s">
        <v>29</v>
      </c>
      <c r="V70" s="4">
        <v>831</v>
      </c>
      <c r="W70" s="5" t="s">
        <v>38</v>
      </c>
      <c r="Z70" s="7" t="s">
        <v>294</v>
      </c>
    </row>
    <row r="71" spans="1:26" x14ac:dyDescent="0.25">
      <c r="A71" s="7" t="s">
        <v>234</v>
      </c>
      <c r="C71" s="5" t="s">
        <v>12</v>
      </c>
      <c r="D71" s="4" t="s">
        <v>17</v>
      </c>
      <c r="F71" s="4" t="s">
        <v>47</v>
      </c>
      <c r="N71" s="4" t="s">
        <v>73</v>
      </c>
      <c r="O71" s="6">
        <v>44788</v>
      </c>
      <c r="P71" s="11">
        <v>44792</v>
      </c>
      <c r="Q71" s="9">
        <f ca="1">IF(P71="",TODAY()-O71,P71-O71)</f>
        <v>4</v>
      </c>
      <c r="R71" s="4" t="s">
        <v>43</v>
      </c>
      <c r="S71" s="5" t="s">
        <v>26</v>
      </c>
      <c r="T71" s="4" t="s">
        <v>38</v>
      </c>
      <c r="U71" s="5" t="s">
        <v>30</v>
      </c>
      <c r="W71" s="5" t="s">
        <v>38</v>
      </c>
      <c r="Z71" s="7" t="s">
        <v>400</v>
      </c>
    </row>
    <row r="72" spans="1:26" ht="45" x14ac:dyDescent="0.25">
      <c r="A72" s="28" t="s">
        <v>489</v>
      </c>
      <c r="B72" s="28"/>
      <c r="C72" s="14" t="s">
        <v>12</v>
      </c>
      <c r="D72" s="13" t="s">
        <v>17</v>
      </c>
      <c r="E72" s="14" t="s">
        <v>22</v>
      </c>
      <c r="F72" s="13" t="s">
        <v>249</v>
      </c>
      <c r="G72" s="15" t="s">
        <v>50</v>
      </c>
      <c r="H72" s="35">
        <v>44805</v>
      </c>
      <c r="I72" s="34">
        <v>44826</v>
      </c>
      <c r="J72" s="13" t="s">
        <v>56</v>
      </c>
      <c r="K72" s="16">
        <v>44883</v>
      </c>
      <c r="L72" s="57"/>
      <c r="M72" s="57"/>
      <c r="N72" s="13" t="s">
        <v>73</v>
      </c>
      <c r="O72" s="16">
        <v>44791</v>
      </c>
      <c r="P72" s="36">
        <v>44886</v>
      </c>
      <c r="Q72" s="9">
        <f ca="1">IF(P72="",TODAY()-O72,P72-O72)</f>
        <v>95</v>
      </c>
      <c r="R72" s="13" t="s">
        <v>41</v>
      </c>
      <c r="S72" s="14" t="s">
        <v>27</v>
      </c>
      <c r="T72" s="13" t="s">
        <v>256</v>
      </c>
      <c r="U72" s="14" t="s">
        <v>30</v>
      </c>
      <c r="V72" s="13"/>
      <c r="W72" s="14" t="s">
        <v>38</v>
      </c>
      <c r="X72" s="39"/>
      <c r="Y72" s="43"/>
      <c r="Z72" s="17" t="s">
        <v>490</v>
      </c>
    </row>
    <row r="73" spans="1:26" x14ac:dyDescent="0.25">
      <c r="A73" s="7" t="s">
        <v>244</v>
      </c>
      <c r="C73" s="5" t="s">
        <v>12</v>
      </c>
      <c r="D73" s="4" t="s">
        <v>16</v>
      </c>
      <c r="E73" s="5" t="s">
        <v>22</v>
      </c>
      <c r="F73" s="4" t="s">
        <v>175</v>
      </c>
      <c r="G73" s="9" t="s">
        <v>51</v>
      </c>
      <c r="H73" s="32">
        <v>44807</v>
      </c>
      <c r="I73" s="33">
        <v>44833</v>
      </c>
      <c r="J73" s="4" t="s">
        <v>56</v>
      </c>
      <c r="K73" s="6">
        <v>44848</v>
      </c>
      <c r="L73" s="56"/>
      <c r="M73" s="56"/>
      <c r="N73" s="4" t="s">
        <v>73</v>
      </c>
      <c r="O73" s="6">
        <v>44795</v>
      </c>
      <c r="P73" s="11">
        <v>45067</v>
      </c>
      <c r="Q73" s="9">
        <f ca="1">IF(P73="",TODAY()-O73,P73-O73)</f>
        <v>272</v>
      </c>
      <c r="R73" s="4" t="s">
        <v>41</v>
      </c>
      <c r="S73" s="5" t="s">
        <v>26</v>
      </c>
      <c r="T73" s="4" t="s">
        <v>38</v>
      </c>
      <c r="U73" s="5" t="s">
        <v>30</v>
      </c>
      <c r="W73" s="5" t="s">
        <v>38</v>
      </c>
      <c r="Z73" s="7" t="s">
        <v>381</v>
      </c>
    </row>
    <row r="74" spans="1:26" x14ac:dyDescent="0.25">
      <c r="A74" s="7" t="s">
        <v>245</v>
      </c>
      <c r="C74" s="5" t="s">
        <v>12</v>
      </c>
      <c r="D74" s="4" t="s">
        <v>16</v>
      </c>
      <c r="E74" s="5" t="s">
        <v>22</v>
      </c>
      <c r="O74" s="6">
        <v>44795</v>
      </c>
      <c r="P74" s="11">
        <v>44796</v>
      </c>
      <c r="Q74" s="9">
        <f ca="1">IF(P74="",TODAY()-O74,P74-O74)</f>
        <v>1</v>
      </c>
      <c r="R74" s="4" t="s">
        <v>42</v>
      </c>
      <c r="S74" s="5" t="s">
        <v>26</v>
      </c>
      <c r="U74" s="5" t="s">
        <v>29</v>
      </c>
      <c r="V74" s="4">
        <v>840</v>
      </c>
      <c r="W74" s="5" t="s">
        <v>39</v>
      </c>
      <c r="Z74" s="7" t="s">
        <v>247</v>
      </c>
    </row>
    <row r="75" spans="1:26" x14ac:dyDescent="0.25">
      <c r="A75" s="7" t="s">
        <v>337</v>
      </c>
      <c r="C75" s="5" t="s">
        <v>12</v>
      </c>
      <c r="D75" s="4" t="s">
        <v>16</v>
      </c>
      <c r="E75" s="5" t="s">
        <v>23</v>
      </c>
      <c r="F75" s="4" t="s">
        <v>248</v>
      </c>
      <c r="G75" s="9" t="s">
        <v>51</v>
      </c>
      <c r="H75" s="32">
        <v>44812</v>
      </c>
      <c r="I75" s="33">
        <v>44830</v>
      </c>
      <c r="J75" s="4" t="s">
        <v>56</v>
      </c>
      <c r="N75" s="4" t="s">
        <v>73</v>
      </c>
      <c r="O75" s="6">
        <v>44796</v>
      </c>
      <c r="P75" s="11">
        <v>44835</v>
      </c>
      <c r="Q75" s="9">
        <f ca="1">IF(P75="",TODAY()-O75,P75-O75)</f>
        <v>39</v>
      </c>
      <c r="R75" s="4" t="s">
        <v>41</v>
      </c>
      <c r="S75" s="5" t="s">
        <v>26</v>
      </c>
      <c r="T75" s="4" t="s">
        <v>336</v>
      </c>
      <c r="U75" s="5" t="s">
        <v>30</v>
      </c>
      <c r="W75" s="5" t="s">
        <v>38</v>
      </c>
      <c r="Z75" s="7" t="s">
        <v>338</v>
      </c>
    </row>
    <row r="76" spans="1:26" x14ac:dyDescent="0.25">
      <c r="A76" s="7" t="s">
        <v>265</v>
      </c>
      <c r="C76" s="5" t="s">
        <v>12</v>
      </c>
      <c r="D76" s="4" t="s">
        <v>17</v>
      </c>
      <c r="F76" s="4" t="s">
        <v>267</v>
      </c>
      <c r="N76" s="4" t="s">
        <v>73</v>
      </c>
      <c r="O76" s="6">
        <v>44808</v>
      </c>
      <c r="P76" s="11">
        <v>44820</v>
      </c>
      <c r="Q76" s="9">
        <f ca="1">IF(P76="",TODAY()-O76,P76-O76)</f>
        <v>12</v>
      </c>
      <c r="R76" s="4" t="s">
        <v>42</v>
      </c>
      <c r="S76" s="5" t="s">
        <v>121</v>
      </c>
      <c r="T76" s="4" t="s">
        <v>290</v>
      </c>
      <c r="U76" s="5" t="s">
        <v>30</v>
      </c>
      <c r="W76" s="5" t="s">
        <v>39</v>
      </c>
      <c r="Z76" s="7" t="s">
        <v>268</v>
      </c>
    </row>
    <row r="77" spans="1:26" x14ac:dyDescent="0.25">
      <c r="A77" s="7" t="s">
        <v>266</v>
      </c>
      <c r="C77" s="5" t="s">
        <v>12</v>
      </c>
      <c r="D77" s="4" t="s">
        <v>16</v>
      </c>
      <c r="F77" s="4" t="s">
        <v>267</v>
      </c>
      <c r="N77" s="4" t="s">
        <v>73</v>
      </c>
      <c r="O77" s="6">
        <v>44808</v>
      </c>
      <c r="Q77" s="9">
        <f ca="1">IF(P77="",TODAY()-O77,P77-O77)</f>
        <v>761</v>
      </c>
      <c r="S77" s="5" t="s">
        <v>121</v>
      </c>
      <c r="T77" s="4" t="s">
        <v>290</v>
      </c>
      <c r="W77" s="5" t="s">
        <v>39</v>
      </c>
      <c r="Z77" s="7" t="s">
        <v>268</v>
      </c>
    </row>
    <row r="78" spans="1:26" x14ac:dyDescent="0.25">
      <c r="A78" s="7" t="s">
        <v>762</v>
      </c>
      <c r="C78" s="5" t="s">
        <v>12</v>
      </c>
      <c r="D78" s="4" t="s">
        <v>14</v>
      </c>
      <c r="E78" s="5" t="s">
        <v>24</v>
      </c>
      <c r="F78" s="4" t="s">
        <v>763</v>
      </c>
      <c r="N78" s="4" t="s">
        <v>75</v>
      </c>
      <c r="O78" s="6">
        <v>44809</v>
      </c>
      <c r="P78" s="11">
        <v>45010</v>
      </c>
      <c r="Q78" s="9">
        <f ca="1">IF(P78="",TODAY()-O78,P78-O78)</f>
        <v>201</v>
      </c>
      <c r="R78" s="4" t="s">
        <v>41</v>
      </c>
      <c r="S78" s="5" t="s">
        <v>26</v>
      </c>
      <c r="U78" s="5" t="s">
        <v>29</v>
      </c>
      <c r="V78" s="4">
        <v>841</v>
      </c>
      <c r="W78" s="5" t="s">
        <v>39</v>
      </c>
      <c r="X78" s="38" t="s">
        <v>932</v>
      </c>
      <c r="Z78" s="7" t="s">
        <v>764</v>
      </c>
    </row>
    <row r="79" spans="1:26" s="13" customFormat="1" x14ac:dyDescent="0.25">
      <c r="A79" s="7" t="s">
        <v>295</v>
      </c>
      <c r="B79" s="7" t="s">
        <v>1071</v>
      </c>
      <c r="C79" s="5" t="s">
        <v>12</v>
      </c>
      <c r="D79" s="4" t="s">
        <v>16</v>
      </c>
      <c r="E79" s="5" t="s">
        <v>24</v>
      </c>
      <c r="F79" s="4" t="s">
        <v>296</v>
      </c>
      <c r="G79" s="9" t="s">
        <v>51</v>
      </c>
      <c r="H79" s="32">
        <v>45341</v>
      </c>
      <c r="I79" s="33">
        <v>45362</v>
      </c>
      <c r="J79" s="4" t="s">
        <v>101</v>
      </c>
      <c r="K79" s="6">
        <v>44858</v>
      </c>
      <c r="L79" s="7"/>
      <c r="M79" s="7"/>
      <c r="N79" s="4" t="s">
        <v>73</v>
      </c>
      <c r="O79" s="6">
        <v>44814</v>
      </c>
      <c r="P79" s="11">
        <v>45373</v>
      </c>
      <c r="Q79" s="9">
        <f ca="1">IF(P79="",TODAY()-O79,P79-O79)</f>
        <v>559</v>
      </c>
      <c r="R79" s="4" t="s">
        <v>41</v>
      </c>
      <c r="S79" s="5" t="s">
        <v>26</v>
      </c>
      <c r="T79" s="4" t="s">
        <v>302</v>
      </c>
      <c r="U79" s="5" t="s">
        <v>29</v>
      </c>
      <c r="V79" s="4">
        <v>845</v>
      </c>
      <c r="W79" s="5" t="s">
        <v>39</v>
      </c>
      <c r="X79" s="38" t="s">
        <v>2225</v>
      </c>
      <c r="Y79" s="44">
        <v>45341</v>
      </c>
      <c r="Z79" s="7" t="s">
        <v>2226</v>
      </c>
    </row>
    <row r="80" spans="1:26" x14ac:dyDescent="0.25">
      <c r="A80" s="7" t="s">
        <v>261</v>
      </c>
      <c r="C80" s="5" t="s">
        <v>12</v>
      </c>
      <c r="D80" s="4" t="s">
        <v>14</v>
      </c>
      <c r="E80" s="5" t="s">
        <v>22</v>
      </c>
      <c r="F80" s="4" t="s">
        <v>237</v>
      </c>
      <c r="N80" s="4" t="s">
        <v>73</v>
      </c>
      <c r="O80" s="6">
        <v>44814</v>
      </c>
      <c r="P80" s="11">
        <v>44820</v>
      </c>
      <c r="Q80" s="9">
        <f ca="1">IF(P80="",TODAY()-O80,P80-O80)</f>
        <v>6</v>
      </c>
      <c r="R80" s="4" t="s">
        <v>42</v>
      </c>
      <c r="S80" s="5" t="s">
        <v>121</v>
      </c>
      <c r="T80" s="4" t="s">
        <v>38</v>
      </c>
      <c r="U80" s="5" t="s">
        <v>30</v>
      </c>
      <c r="W80" s="5" t="s">
        <v>39</v>
      </c>
      <c r="Z80" s="7" t="s">
        <v>264</v>
      </c>
    </row>
    <row r="81" spans="1:26" x14ac:dyDescent="0.25">
      <c r="A81" s="7" t="s">
        <v>262</v>
      </c>
      <c r="C81" s="5" t="s">
        <v>12</v>
      </c>
      <c r="D81" s="4" t="s">
        <v>14</v>
      </c>
      <c r="E81" s="5" t="s">
        <v>22</v>
      </c>
      <c r="F81" s="4" t="s">
        <v>237</v>
      </c>
      <c r="N81" s="4" t="s">
        <v>73</v>
      </c>
      <c r="O81" s="6">
        <v>44814</v>
      </c>
      <c r="P81" s="11">
        <v>44841</v>
      </c>
      <c r="Q81" s="9">
        <f ca="1">IF(P81="",TODAY()-O81,P81-O81)</f>
        <v>27</v>
      </c>
      <c r="R81" s="4" t="s">
        <v>43</v>
      </c>
      <c r="S81" s="5" t="s">
        <v>121</v>
      </c>
      <c r="T81" s="4" t="s">
        <v>38</v>
      </c>
      <c r="U81" s="5" t="s">
        <v>30</v>
      </c>
      <c r="W81" s="5" t="s">
        <v>39</v>
      </c>
      <c r="Z81" s="7" t="s">
        <v>264</v>
      </c>
    </row>
    <row r="82" spans="1:26" x14ac:dyDescent="0.25">
      <c r="A82" s="7" t="s">
        <v>263</v>
      </c>
      <c r="C82" s="5" t="s">
        <v>12</v>
      </c>
      <c r="D82" s="4" t="s">
        <v>15</v>
      </c>
      <c r="E82" s="5" t="s">
        <v>23</v>
      </c>
      <c r="F82" s="4" t="s">
        <v>237</v>
      </c>
      <c r="N82" s="4" t="s">
        <v>73</v>
      </c>
      <c r="O82" s="6">
        <v>44814</v>
      </c>
      <c r="P82" s="11">
        <v>44840</v>
      </c>
      <c r="Q82" s="9">
        <f ca="1">IF(P82="",TODAY()-O82,P82-O82)</f>
        <v>26</v>
      </c>
      <c r="R82" s="4" t="s">
        <v>43</v>
      </c>
      <c r="S82" s="5" t="s">
        <v>121</v>
      </c>
      <c r="T82" s="4" t="s">
        <v>38</v>
      </c>
      <c r="U82" s="5" t="s">
        <v>30</v>
      </c>
      <c r="W82" s="5" t="s">
        <v>39</v>
      </c>
      <c r="Z82" s="7" t="s">
        <v>264</v>
      </c>
    </row>
    <row r="83" spans="1:26" x14ac:dyDescent="0.25">
      <c r="A83" s="7" t="s">
        <v>269</v>
      </c>
      <c r="C83" s="5" t="s">
        <v>12</v>
      </c>
      <c r="D83" s="4" t="s">
        <v>127</v>
      </c>
      <c r="E83" s="5" t="s">
        <v>23</v>
      </c>
      <c r="F83" s="4" t="s">
        <v>237</v>
      </c>
      <c r="N83" s="4" t="s">
        <v>73</v>
      </c>
      <c r="O83" s="6">
        <v>44814</v>
      </c>
      <c r="P83" s="11">
        <v>44839</v>
      </c>
      <c r="Q83" s="9">
        <f ca="1">IF(P83="",TODAY()-O83,P83-O83)</f>
        <v>25</v>
      </c>
      <c r="R83" s="4" t="s">
        <v>43</v>
      </c>
      <c r="S83" s="5" t="s">
        <v>121</v>
      </c>
      <c r="T83" s="4" t="s">
        <v>38</v>
      </c>
      <c r="U83" s="5" t="s">
        <v>30</v>
      </c>
      <c r="W83" s="5" t="s">
        <v>39</v>
      </c>
      <c r="Z83" s="7" t="s">
        <v>264</v>
      </c>
    </row>
    <row r="84" spans="1:26" ht="30" x14ac:dyDescent="0.25">
      <c r="A84" s="7" t="s">
        <v>270</v>
      </c>
      <c r="C84" s="5" t="s">
        <v>12</v>
      </c>
      <c r="D84" s="4" t="s">
        <v>20</v>
      </c>
      <c r="E84" s="5" t="s">
        <v>22</v>
      </c>
      <c r="F84" s="4" t="s">
        <v>271</v>
      </c>
      <c r="N84" s="4" t="s">
        <v>73</v>
      </c>
      <c r="O84" s="6">
        <v>44816</v>
      </c>
      <c r="Q84" s="9">
        <f ca="1">IF(P84="",TODAY()-O84,P84-O84)</f>
        <v>753</v>
      </c>
      <c r="S84" s="5" t="s">
        <v>26</v>
      </c>
      <c r="T84" s="4" t="s">
        <v>38</v>
      </c>
      <c r="U84" s="5" t="s">
        <v>30</v>
      </c>
      <c r="W84" s="5" t="s">
        <v>39</v>
      </c>
      <c r="Z84" s="12" t="s">
        <v>672</v>
      </c>
    </row>
    <row r="85" spans="1:26" x14ac:dyDescent="0.25">
      <c r="A85" s="7" t="s">
        <v>371</v>
      </c>
      <c r="C85" s="5" t="s">
        <v>12</v>
      </c>
      <c r="D85" s="4" t="s">
        <v>20</v>
      </c>
      <c r="E85" s="5" t="s">
        <v>23</v>
      </c>
      <c r="N85" s="4" t="s">
        <v>75</v>
      </c>
      <c r="O85" s="6">
        <v>44816</v>
      </c>
      <c r="Q85" s="9">
        <f ca="1">IF(P85="",TODAY()-O85,P85-O85)</f>
        <v>753</v>
      </c>
      <c r="S85" s="5" t="s">
        <v>27</v>
      </c>
      <c r="U85" s="5" t="s">
        <v>29</v>
      </c>
      <c r="W85" s="5" t="s">
        <v>38</v>
      </c>
    </row>
    <row r="86" spans="1:26" x14ac:dyDescent="0.25">
      <c r="A86" s="7" t="s">
        <v>372</v>
      </c>
      <c r="C86" s="5" t="s">
        <v>12</v>
      </c>
      <c r="D86" s="4" t="s">
        <v>20</v>
      </c>
      <c r="E86" s="5" t="s">
        <v>22</v>
      </c>
      <c r="F86" s="4" t="s">
        <v>144</v>
      </c>
      <c r="G86" s="9" t="s">
        <v>51</v>
      </c>
      <c r="H86" s="32">
        <v>44852</v>
      </c>
      <c r="I86" s="33">
        <v>44880</v>
      </c>
      <c r="J86" s="4" t="s">
        <v>102</v>
      </c>
      <c r="K86" s="6">
        <v>44932</v>
      </c>
      <c r="L86" s="56"/>
      <c r="M86" s="56"/>
      <c r="N86" s="4" t="s">
        <v>73</v>
      </c>
      <c r="O86" s="6">
        <v>44816</v>
      </c>
      <c r="Q86" s="9">
        <f ca="1">IF(P86="",TODAY()-O86,P86-O86)</f>
        <v>753</v>
      </c>
      <c r="S86" s="5" t="s">
        <v>27</v>
      </c>
      <c r="T86" s="4" t="s">
        <v>38</v>
      </c>
      <c r="U86" s="5" t="s">
        <v>29</v>
      </c>
      <c r="V86" s="4">
        <v>870</v>
      </c>
      <c r="W86" s="5" t="s">
        <v>38</v>
      </c>
      <c r="Z86" s="7" t="s">
        <v>661</v>
      </c>
    </row>
    <row r="87" spans="1:26" x14ac:dyDescent="0.25">
      <c r="A87" s="7" t="s">
        <v>373</v>
      </c>
      <c r="C87" s="5" t="s">
        <v>12</v>
      </c>
      <c r="D87" s="4" t="s">
        <v>20</v>
      </c>
      <c r="E87" s="5" t="s">
        <v>22</v>
      </c>
      <c r="F87" s="4" t="s">
        <v>144</v>
      </c>
      <c r="G87" s="9" t="s">
        <v>51</v>
      </c>
      <c r="H87" s="32">
        <v>44852</v>
      </c>
      <c r="I87" s="33">
        <v>44880</v>
      </c>
      <c r="J87" s="4" t="s">
        <v>102</v>
      </c>
      <c r="K87" s="6">
        <v>44932</v>
      </c>
      <c r="L87" s="56"/>
      <c r="M87" s="56"/>
      <c r="N87" s="4" t="s">
        <v>73</v>
      </c>
      <c r="O87" s="6">
        <v>44816</v>
      </c>
      <c r="Q87" s="9">
        <f ca="1">IF(P87="",TODAY()-O87,P87-O87)</f>
        <v>753</v>
      </c>
      <c r="S87" s="5" t="s">
        <v>27</v>
      </c>
      <c r="T87" s="4" t="s">
        <v>38</v>
      </c>
      <c r="U87" s="5" t="s">
        <v>29</v>
      </c>
      <c r="V87" s="4">
        <v>871</v>
      </c>
      <c r="W87" s="5" t="s">
        <v>38</v>
      </c>
      <c r="Z87" s="7" t="s">
        <v>662</v>
      </c>
    </row>
    <row r="88" spans="1:26" s="13" customFormat="1" ht="28.5" customHeight="1" x14ac:dyDescent="0.25">
      <c r="A88" s="7" t="s">
        <v>292</v>
      </c>
      <c r="B88" s="7"/>
      <c r="C88" s="5" t="s">
        <v>12</v>
      </c>
      <c r="D88" s="4" t="s">
        <v>16</v>
      </c>
      <c r="E88" s="5" t="s">
        <v>23</v>
      </c>
      <c r="F88" s="4" t="s">
        <v>156</v>
      </c>
      <c r="G88" s="9" t="s">
        <v>51</v>
      </c>
      <c r="H88" s="30"/>
      <c r="I88" s="9"/>
      <c r="J88" s="4" t="s">
        <v>56</v>
      </c>
      <c r="K88" s="6">
        <v>44834</v>
      </c>
      <c r="L88" s="56"/>
      <c r="M88" s="56"/>
      <c r="N88" s="4" t="s">
        <v>73</v>
      </c>
      <c r="O88" s="6">
        <v>44817</v>
      </c>
      <c r="P88" s="11">
        <v>44849</v>
      </c>
      <c r="Q88" s="9">
        <f ca="1">IF(P88="",TODAY()-O88,P88-O88)</f>
        <v>32</v>
      </c>
      <c r="R88" s="4" t="s">
        <v>41</v>
      </c>
      <c r="S88" s="5" t="s">
        <v>26</v>
      </c>
      <c r="T88" s="4" t="s">
        <v>38</v>
      </c>
      <c r="U88" s="5" t="s">
        <v>30</v>
      </c>
      <c r="V88" s="4"/>
      <c r="W88" s="5" t="s">
        <v>38</v>
      </c>
      <c r="X88" s="38"/>
      <c r="Y88" s="42"/>
      <c r="Z88" s="7" t="s">
        <v>293</v>
      </c>
    </row>
    <row r="89" spans="1:26" s="13" customFormat="1" ht="27.75" customHeight="1" x14ac:dyDescent="0.25">
      <c r="A89" s="28" t="s">
        <v>272</v>
      </c>
      <c r="B89" s="28"/>
      <c r="C89" s="14" t="s">
        <v>12</v>
      </c>
      <c r="D89" s="13" t="s">
        <v>18</v>
      </c>
      <c r="E89" s="14" t="s">
        <v>23</v>
      </c>
      <c r="F89" s="13" t="s">
        <v>271</v>
      </c>
      <c r="G89" s="15" t="s">
        <v>51</v>
      </c>
      <c r="H89" s="35">
        <v>44831</v>
      </c>
      <c r="I89" s="34">
        <v>44852</v>
      </c>
      <c r="J89" s="13" t="s">
        <v>503</v>
      </c>
      <c r="K89" s="16">
        <v>44986</v>
      </c>
      <c r="L89" s="57"/>
      <c r="M89" s="57"/>
      <c r="N89" s="13" t="s">
        <v>73</v>
      </c>
      <c r="O89" s="16">
        <v>44818</v>
      </c>
      <c r="P89" s="36">
        <v>45059</v>
      </c>
      <c r="Q89" s="9">
        <f ca="1">IF(P89="",TODAY()-O89,P89-O89)</f>
        <v>241</v>
      </c>
      <c r="R89" s="13" t="s">
        <v>41</v>
      </c>
      <c r="S89" s="14" t="s">
        <v>121</v>
      </c>
      <c r="T89" s="13" t="s">
        <v>745</v>
      </c>
      <c r="U89" s="14" t="s">
        <v>29</v>
      </c>
      <c r="V89" s="13">
        <v>859</v>
      </c>
      <c r="W89" s="14" t="s">
        <v>39</v>
      </c>
      <c r="X89" s="39"/>
      <c r="Y89" s="43"/>
      <c r="Z89" s="28" t="s">
        <v>868</v>
      </c>
    </row>
    <row r="90" spans="1:26" ht="30" x14ac:dyDescent="0.25">
      <c r="A90" s="28" t="s">
        <v>273</v>
      </c>
      <c r="B90" s="28"/>
      <c r="C90" s="14" t="s">
        <v>12</v>
      </c>
      <c r="D90" s="13" t="s">
        <v>18</v>
      </c>
      <c r="E90" s="14" t="s">
        <v>22</v>
      </c>
      <c r="F90" s="13" t="s">
        <v>271</v>
      </c>
      <c r="G90" s="15" t="s">
        <v>51</v>
      </c>
      <c r="H90" s="35">
        <v>44852</v>
      </c>
      <c r="I90" s="34">
        <v>44880</v>
      </c>
      <c r="J90" s="13" t="s">
        <v>503</v>
      </c>
      <c r="K90" s="16">
        <v>44897</v>
      </c>
      <c r="L90" s="57"/>
      <c r="M90" s="57"/>
      <c r="N90" s="13" t="s">
        <v>73</v>
      </c>
      <c r="O90" s="16">
        <v>44818</v>
      </c>
      <c r="P90" s="36">
        <v>45059</v>
      </c>
      <c r="Q90" s="9">
        <f ca="1">IF(P90="",TODAY()-O90,P90-O90)</f>
        <v>241</v>
      </c>
      <c r="R90" s="13" t="s">
        <v>41</v>
      </c>
      <c r="S90" s="14" t="s">
        <v>121</v>
      </c>
      <c r="T90" s="13" t="s">
        <v>745</v>
      </c>
      <c r="U90" s="14" t="s">
        <v>29</v>
      </c>
      <c r="V90" s="13">
        <v>858</v>
      </c>
      <c r="W90" s="14" t="s">
        <v>39</v>
      </c>
      <c r="X90" s="39"/>
      <c r="Y90" s="43"/>
      <c r="Z90" s="17" t="s">
        <v>869</v>
      </c>
    </row>
    <row r="91" spans="1:26" s="13" customFormat="1" x14ac:dyDescent="0.25">
      <c r="A91" s="7" t="s">
        <v>280</v>
      </c>
      <c r="B91" s="7"/>
      <c r="C91" s="5" t="s">
        <v>12</v>
      </c>
      <c r="D91" s="4" t="s">
        <v>20</v>
      </c>
      <c r="E91" s="5" t="s">
        <v>22</v>
      </c>
      <c r="F91" s="4" t="s">
        <v>240</v>
      </c>
      <c r="G91" s="9" t="s">
        <v>51</v>
      </c>
      <c r="H91" s="32">
        <v>44833</v>
      </c>
      <c r="I91" s="33">
        <v>44855</v>
      </c>
      <c r="J91" s="4" t="s">
        <v>56</v>
      </c>
      <c r="K91" s="6">
        <v>44875</v>
      </c>
      <c r="L91" s="56"/>
      <c r="M91" s="56"/>
      <c r="N91" s="4" t="s">
        <v>73</v>
      </c>
      <c r="O91" s="6">
        <v>44818</v>
      </c>
      <c r="P91" s="11">
        <v>44890</v>
      </c>
      <c r="Q91" s="9">
        <f ca="1">IF(P91="",TODAY()-O91,P91-O91)</f>
        <v>72</v>
      </c>
      <c r="R91" s="4" t="s">
        <v>41</v>
      </c>
      <c r="S91" s="5" t="s">
        <v>121</v>
      </c>
      <c r="T91" s="4" t="s">
        <v>199</v>
      </c>
      <c r="U91" s="5" t="s">
        <v>30</v>
      </c>
      <c r="V91" s="4">
        <v>875</v>
      </c>
      <c r="W91" s="5" t="s">
        <v>39</v>
      </c>
      <c r="X91" s="38"/>
      <c r="Y91" s="42"/>
      <c r="Z91" s="7" t="s">
        <v>398</v>
      </c>
    </row>
    <row r="92" spans="1:26" ht="30" x14ac:dyDescent="0.25">
      <c r="A92" s="28" t="s">
        <v>274</v>
      </c>
      <c r="B92" s="28"/>
      <c r="C92" s="14" t="s">
        <v>12</v>
      </c>
      <c r="D92" s="13" t="s">
        <v>127</v>
      </c>
      <c r="E92" s="14" t="s">
        <v>23</v>
      </c>
      <c r="F92" s="13" t="s">
        <v>275</v>
      </c>
      <c r="G92" s="15" t="s">
        <v>50</v>
      </c>
      <c r="H92" s="35">
        <v>44896</v>
      </c>
      <c r="I92" s="15"/>
      <c r="J92" s="13" t="s">
        <v>101</v>
      </c>
      <c r="K92" s="14"/>
      <c r="L92" s="28"/>
      <c r="M92" s="28"/>
      <c r="N92" s="13" t="s">
        <v>73</v>
      </c>
      <c r="O92" s="16">
        <v>44818</v>
      </c>
      <c r="P92" s="36">
        <v>44911</v>
      </c>
      <c r="Q92" s="9">
        <f ca="1">IF(P92="",TODAY()-O92,P92-O92)</f>
        <v>93</v>
      </c>
      <c r="R92" s="13" t="s">
        <v>42</v>
      </c>
      <c r="S92" s="14" t="s">
        <v>26</v>
      </c>
      <c r="T92" s="13" t="s">
        <v>485</v>
      </c>
      <c r="U92" s="14" t="s">
        <v>29</v>
      </c>
      <c r="V92" s="13">
        <v>847</v>
      </c>
      <c r="W92" s="14" t="s">
        <v>39</v>
      </c>
      <c r="X92" s="39"/>
      <c r="Y92" s="43"/>
      <c r="Z92" s="17" t="s">
        <v>660</v>
      </c>
    </row>
    <row r="93" spans="1:26" x14ac:dyDescent="0.25">
      <c r="A93" s="7" t="s">
        <v>276</v>
      </c>
      <c r="C93" s="5" t="s">
        <v>12</v>
      </c>
      <c r="D93" s="4" t="s">
        <v>17</v>
      </c>
      <c r="E93" s="5" t="s">
        <v>23</v>
      </c>
      <c r="F93" s="4" t="s">
        <v>281</v>
      </c>
      <c r="N93" s="4" t="s">
        <v>75</v>
      </c>
      <c r="O93" s="6">
        <v>44819</v>
      </c>
      <c r="Q93" s="9">
        <f ca="1">IF(P93="",TODAY()-O93,P93-O93)</f>
        <v>750</v>
      </c>
      <c r="S93" s="5" t="s">
        <v>26</v>
      </c>
      <c r="W93" s="5" t="s">
        <v>38</v>
      </c>
      <c r="Z93" s="7" t="s">
        <v>400</v>
      </c>
    </row>
    <row r="94" spans="1:26" x14ac:dyDescent="0.25">
      <c r="A94" s="7" t="s">
        <v>492</v>
      </c>
      <c r="C94" s="5" t="s">
        <v>12</v>
      </c>
      <c r="D94" s="4" t="s">
        <v>16</v>
      </c>
      <c r="E94" s="5" t="s">
        <v>23</v>
      </c>
      <c r="F94" s="4" t="s">
        <v>612</v>
      </c>
      <c r="G94" s="9" t="s">
        <v>51</v>
      </c>
      <c r="N94" s="4" t="s">
        <v>73</v>
      </c>
      <c r="O94" s="6">
        <v>44819</v>
      </c>
      <c r="P94" s="11"/>
      <c r="Q94" s="9">
        <f ca="1">IF(P94="",TODAY()-O94,P94-O94)</f>
        <v>750</v>
      </c>
      <c r="S94" s="5" t="s">
        <v>26</v>
      </c>
      <c r="T94" s="4" t="s">
        <v>114</v>
      </c>
    </row>
    <row r="95" spans="1:26" x14ac:dyDescent="0.25">
      <c r="A95" s="7" t="s">
        <v>930</v>
      </c>
      <c r="C95" s="5" t="s">
        <v>12</v>
      </c>
      <c r="D95" s="4" t="s">
        <v>14</v>
      </c>
      <c r="E95" s="5" t="s">
        <v>22</v>
      </c>
      <c r="F95" s="4" t="s">
        <v>612</v>
      </c>
      <c r="G95" s="9" t="s">
        <v>51</v>
      </c>
      <c r="H95" s="32">
        <v>44867</v>
      </c>
      <c r="I95" s="33">
        <v>44889</v>
      </c>
      <c r="J95" s="4" t="s">
        <v>102</v>
      </c>
      <c r="N95" s="4" t="s">
        <v>73</v>
      </c>
      <c r="O95" s="6">
        <v>44819</v>
      </c>
      <c r="P95" s="11">
        <v>44909</v>
      </c>
      <c r="Q95" s="9">
        <f ca="1">IF(P95="",TODAY()-O95,P95-O95)</f>
        <v>90</v>
      </c>
      <c r="R95" s="4" t="s">
        <v>41</v>
      </c>
      <c r="S95" s="5" t="s">
        <v>28</v>
      </c>
      <c r="T95" s="4" t="s">
        <v>114</v>
      </c>
      <c r="U95" s="5" t="s">
        <v>33</v>
      </c>
      <c r="W95" s="5" t="s">
        <v>39</v>
      </c>
      <c r="Z95" s="7" t="s">
        <v>929</v>
      </c>
    </row>
    <row r="96" spans="1:26" x14ac:dyDescent="0.25">
      <c r="A96" s="7" t="s">
        <v>1052</v>
      </c>
      <c r="C96" s="5" t="s">
        <v>12</v>
      </c>
      <c r="D96" s="4" t="s">
        <v>14</v>
      </c>
      <c r="E96" s="5" t="s">
        <v>22</v>
      </c>
      <c r="F96" s="4" t="s">
        <v>612</v>
      </c>
      <c r="G96" s="9" t="s">
        <v>51</v>
      </c>
      <c r="H96" s="32">
        <v>44867</v>
      </c>
      <c r="I96" s="33">
        <v>44889</v>
      </c>
      <c r="J96" s="4" t="s">
        <v>102</v>
      </c>
      <c r="N96" s="4" t="s">
        <v>73</v>
      </c>
      <c r="O96" s="6">
        <v>44819</v>
      </c>
      <c r="P96" s="11">
        <v>44902</v>
      </c>
      <c r="Q96" s="9">
        <f ca="1">IF(P96="",TODAY()-O96,P96-O96)</f>
        <v>83</v>
      </c>
      <c r="R96" s="4" t="s">
        <v>41</v>
      </c>
      <c r="S96" s="5" t="s">
        <v>28</v>
      </c>
      <c r="T96" s="4" t="s">
        <v>114</v>
      </c>
      <c r="U96" s="5" t="s">
        <v>33</v>
      </c>
      <c r="W96" s="5" t="s">
        <v>39</v>
      </c>
      <c r="Z96" s="7" t="s">
        <v>929</v>
      </c>
    </row>
    <row r="97" spans="1:26" x14ac:dyDescent="0.25">
      <c r="A97" s="7" t="s">
        <v>1023</v>
      </c>
      <c r="C97" s="5" t="s">
        <v>12</v>
      </c>
      <c r="D97" s="4" t="s">
        <v>14</v>
      </c>
      <c r="E97" s="5" t="s">
        <v>22</v>
      </c>
      <c r="F97" s="4" t="s">
        <v>612</v>
      </c>
      <c r="G97" s="9" t="s">
        <v>51</v>
      </c>
      <c r="H97" s="32">
        <v>44867</v>
      </c>
      <c r="I97" s="33">
        <v>44889</v>
      </c>
      <c r="J97" s="4" t="s">
        <v>102</v>
      </c>
      <c r="N97" s="4" t="s">
        <v>73</v>
      </c>
      <c r="O97" s="6">
        <v>44819</v>
      </c>
      <c r="P97" s="11">
        <v>45094</v>
      </c>
      <c r="Q97" s="9">
        <f ca="1">IF(P97="",TODAY()-O97,P97-O97)</f>
        <v>275</v>
      </c>
      <c r="R97" s="4" t="s">
        <v>41</v>
      </c>
      <c r="S97" s="5" t="s">
        <v>28</v>
      </c>
      <c r="T97" s="4" t="s">
        <v>114</v>
      </c>
      <c r="U97" s="5" t="s">
        <v>33</v>
      </c>
      <c r="W97" s="5" t="s">
        <v>39</v>
      </c>
      <c r="Z97" s="7" t="s">
        <v>929</v>
      </c>
    </row>
    <row r="98" spans="1:26" x14ac:dyDescent="0.25">
      <c r="A98" s="7" t="s">
        <v>928</v>
      </c>
      <c r="C98" s="5" t="s">
        <v>12</v>
      </c>
      <c r="D98" s="4" t="s">
        <v>16</v>
      </c>
      <c r="E98" s="5" t="s">
        <v>22</v>
      </c>
      <c r="F98" s="4" t="s">
        <v>612</v>
      </c>
      <c r="G98" s="9" t="s">
        <v>51</v>
      </c>
      <c r="H98" s="32">
        <v>44867</v>
      </c>
      <c r="I98" s="33">
        <v>44889</v>
      </c>
      <c r="J98" s="4" t="s">
        <v>102</v>
      </c>
      <c r="N98" s="4" t="s">
        <v>73</v>
      </c>
      <c r="O98" s="6">
        <v>44819</v>
      </c>
      <c r="P98" s="11">
        <v>44909</v>
      </c>
      <c r="Q98" s="9">
        <f ca="1">IF(P98="",TODAY()-O98,P98-O98)</f>
        <v>90</v>
      </c>
      <c r="R98" s="4" t="s">
        <v>41</v>
      </c>
      <c r="S98" s="5" t="s">
        <v>28</v>
      </c>
      <c r="T98" s="4" t="s">
        <v>114</v>
      </c>
      <c r="U98" s="5" t="s">
        <v>33</v>
      </c>
      <c r="W98" s="5" t="s">
        <v>39</v>
      </c>
      <c r="Z98" s="7" t="s">
        <v>929</v>
      </c>
    </row>
    <row r="99" spans="1:26" x14ac:dyDescent="0.25">
      <c r="A99" s="7" t="s">
        <v>1004</v>
      </c>
      <c r="C99" s="5" t="s">
        <v>12</v>
      </c>
      <c r="D99" s="4" t="s">
        <v>16</v>
      </c>
      <c r="E99" s="5" t="s">
        <v>22</v>
      </c>
      <c r="F99" s="4" t="s">
        <v>612</v>
      </c>
      <c r="G99" s="9" t="s">
        <v>51</v>
      </c>
      <c r="H99" s="32">
        <v>44867</v>
      </c>
      <c r="I99" s="33">
        <v>44889</v>
      </c>
      <c r="J99" s="4" t="s">
        <v>102</v>
      </c>
      <c r="N99" s="4" t="s">
        <v>73</v>
      </c>
      <c r="O99" s="6">
        <v>44819</v>
      </c>
      <c r="P99" s="11">
        <v>44902</v>
      </c>
      <c r="Q99" s="9">
        <f ca="1">IF(P99="",TODAY()-O99,P99-O99)</f>
        <v>83</v>
      </c>
      <c r="R99" s="4" t="s">
        <v>41</v>
      </c>
      <c r="S99" s="5" t="s">
        <v>28</v>
      </c>
      <c r="T99" s="4" t="s">
        <v>114</v>
      </c>
      <c r="U99" s="5" t="s">
        <v>33</v>
      </c>
      <c r="W99" s="5" t="s">
        <v>39</v>
      </c>
      <c r="Z99" s="7" t="s">
        <v>929</v>
      </c>
    </row>
    <row r="100" spans="1:26" x14ac:dyDescent="0.25">
      <c r="A100" s="7" t="s">
        <v>1051</v>
      </c>
      <c r="C100" s="5" t="s">
        <v>12</v>
      </c>
      <c r="D100" s="4" t="s">
        <v>16</v>
      </c>
      <c r="E100" s="5" t="s">
        <v>22</v>
      </c>
      <c r="F100" s="4" t="s">
        <v>612</v>
      </c>
      <c r="G100" s="9" t="s">
        <v>51</v>
      </c>
      <c r="H100" s="32">
        <v>44867</v>
      </c>
      <c r="I100" s="33">
        <v>44889</v>
      </c>
      <c r="J100" s="4" t="s">
        <v>102</v>
      </c>
      <c r="N100" s="4" t="s">
        <v>73</v>
      </c>
      <c r="O100" s="6">
        <v>44819</v>
      </c>
      <c r="P100" s="11">
        <v>44902</v>
      </c>
      <c r="Q100" s="9">
        <f ca="1">IF(P100="",TODAY()-O100,P100-O100)</f>
        <v>83</v>
      </c>
      <c r="S100" s="5" t="s">
        <v>28</v>
      </c>
      <c r="T100" s="4" t="s">
        <v>114</v>
      </c>
      <c r="U100" s="5" t="s">
        <v>33</v>
      </c>
      <c r="Z100" s="7" t="s">
        <v>929</v>
      </c>
    </row>
    <row r="101" spans="1:26" x14ac:dyDescent="0.25">
      <c r="A101" s="7" t="s">
        <v>491</v>
      </c>
      <c r="C101" s="5" t="s">
        <v>12</v>
      </c>
      <c r="D101" s="4" t="s">
        <v>16</v>
      </c>
      <c r="E101" s="5" t="s">
        <v>22</v>
      </c>
      <c r="F101" s="4" t="s">
        <v>612</v>
      </c>
      <c r="G101" s="9" t="s">
        <v>51</v>
      </c>
      <c r="N101" s="4" t="s">
        <v>73</v>
      </c>
      <c r="O101" s="6">
        <v>44819</v>
      </c>
      <c r="P101" s="11"/>
      <c r="Q101" s="9">
        <f ca="1">IF(P101="",TODAY()-O101,P101-O101)</f>
        <v>750</v>
      </c>
      <c r="S101" s="5" t="s">
        <v>28</v>
      </c>
      <c r="T101" s="4" t="s">
        <v>114</v>
      </c>
      <c r="U101" s="5" t="s">
        <v>33</v>
      </c>
    </row>
    <row r="102" spans="1:26" x14ac:dyDescent="0.25">
      <c r="A102" s="7" t="s">
        <v>282</v>
      </c>
      <c r="C102" s="5" t="s">
        <v>12</v>
      </c>
      <c r="D102" s="4" t="s">
        <v>17</v>
      </c>
      <c r="F102" s="4" t="s">
        <v>284</v>
      </c>
      <c r="N102" s="4" t="s">
        <v>75</v>
      </c>
      <c r="O102" s="6">
        <v>44820</v>
      </c>
      <c r="Q102" s="9">
        <f ca="1">IF(P102="",TODAY()-O102,P102-O102)</f>
        <v>749</v>
      </c>
      <c r="S102" s="5" t="s">
        <v>26</v>
      </c>
      <c r="W102" s="5" t="s">
        <v>38</v>
      </c>
      <c r="Z102" s="7" t="s">
        <v>400</v>
      </c>
    </row>
    <row r="103" spans="1:26" x14ac:dyDescent="0.25">
      <c r="A103" s="7" t="s">
        <v>283</v>
      </c>
      <c r="C103" s="5" t="s">
        <v>12</v>
      </c>
      <c r="D103" s="4" t="s">
        <v>17</v>
      </c>
      <c r="F103" s="4" t="s">
        <v>284</v>
      </c>
      <c r="N103" s="4" t="s">
        <v>75</v>
      </c>
      <c r="O103" s="6">
        <v>44820</v>
      </c>
      <c r="Q103" s="9">
        <f ca="1">IF(P103="",TODAY()-O103,P103-O103)</f>
        <v>749</v>
      </c>
      <c r="S103" s="5" t="s">
        <v>26</v>
      </c>
      <c r="W103" s="5" t="s">
        <v>38</v>
      </c>
      <c r="Z103" s="7" t="s">
        <v>400</v>
      </c>
    </row>
    <row r="104" spans="1:26" x14ac:dyDescent="0.25">
      <c r="A104" s="7" t="s">
        <v>285</v>
      </c>
      <c r="C104" s="5" t="s">
        <v>12</v>
      </c>
      <c r="D104" s="4" t="s">
        <v>311</v>
      </c>
      <c r="E104" s="5" t="s">
        <v>22</v>
      </c>
      <c r="F104" s="4" t="s">
        <v>246</v>
      </c>
      <c r="N104" s="4" t="s">
        <v>73</v>
      </c>
      <c r="O104" s="6">
        <v>44823</v>
      </c>
      <c r="P104" s="11">
        <v>44831</v>
      </c>
      <c r="Q104" s="9">
        <f ca="1">IF(P104="",TODAY()-O104,P104-O104)</f>
        <v>8</v>
      </c>
      <c r="R104" s="4" t="s">
        <v>43</v>
      </c>
      <c r="S104" s="5" t="s">
        <v>26</v>
      </c>
      <c r="T104" s="4" t="s">
        <v>38</v>
      </c>
      <c r="U104" s="5" t="s">
        <v>30</v>
      </c>
      <c r="W104" s="5" t="s">
        <v>38</v>
      </c>
      <c r="Z104" s="7" t="s">
        <v>328</v>
      </c>
    </row>
    <row r="105" spans="1:26" x14ac:dyDescent="0.25">
      <c r="A105" s="7" t="s">
        <v>286</v>
      </c>
      <c r="C105" s="5" t="s">
        <v>12</v>
      </c>
      <c r="D105" s="4" t="s">
        <v>311</v>
      </c>
      <c r="E105" s="5" t="s">
        <v>22</v>
      </c>
      <c r="F105" s="4" t="s">
        <v>246</v>
      </c>
      <c r="N105" s="4" t="s">
        <v>73</v>
      </c>
      <c r="O105" s="6">
        <v>44823</v>
      </c>
      <c r="P105" s="11">
        <v>44833</v>
      </c>
      <c r="Q105" s="9">
        <f ca="1">IF(P105="",TODAY()-O105,P105-O105)</f>
        <v>10</v>
      </c>
      <c r="R105" s="4" t="s">
        <v>42</v>
      </c>
      <c r="S105" s="5" t="s">
        <v>26</v>
      </c>
      <c r="T105" s="4" t="s">
        <v>38</v>
      </c>
      <c r="U105" s="5" t="s">
        <v>30</v>
      </c>
      <c r="W105" s="5" t="s">
        <v>38</v>
      </c>
      <c r="Z105" s="7" t="s">
        <v>400</v>
      </c>
    </row>
    <row r="106" spans="1:26" x14ac:dyDescent="0.25">
      <c r="A106" s="7" t="s">
        <v>287</v>
      </c>
      <c r="C106" s="5" t="s">
        <v>12</v>
      </c>
      <c r="D106" s="4" t="s">
        <v>311</v>
      </c>
      <c r="E106" s="5" t="s">
        <v>22</v>
      </c>
      <c r="F106" s="4" t="s">
        <v>246</v>
      </c>
      <c r="N106" s="4" t="s">
        <v>73</v>
      </c>
      <c r="O106" s="6">
        <v>44823</v>
      </c>
      <c r="P106" s="11">
        <v>44837</v>
      </c>
      <c r="Q106" s="9">
        <f ca="1">IF(P106="",TODAY()-O106,P106-O106)</f>
        <v>14</v>
      </c>
      <c r="R106" s="4" t="s">
        <v>42</v>
      </c>
      <c r="S106" s="5" t="s">
        <v>26</v>
      </c>
      <c r="T106" s="4" t="s">
        <v>38</v>
      </c>
      <c r="U106" s="5" t="s">
        <v>30</v>
      </c>
      <c r="W106" s="5" t="s">
        <v>38</v>
      </c>
      <c r="Z106" s="7" t="s">
        <v>400</v>
      </c>
    </row>
    <row r="107" spans="1:26" x14ac:dyDescent="0.25">
      <c r="A107" s="7" t="s">
        <v>288</v>
      </c>
      <c r="C107" s="5" t="s">
        <v>12</v>
      </c>
      <c r="D107" s="4" t="s">
        <v>311</v>
      </c>
      <c r="E107" s="5" t="s">
        <v>22</v>
      </c>
      <c r="F107" s="4" t="s">
        <v>246</v>
      </c>
      <c r="N107" s="4" t="s">
        <v>73</v>
      </c>
      <c r="O107" s="6">
        <v>44823</v>
      </c>
      <c r="P107" s="11">
        <v>44838</v>
      </c>
      <c r="Q107" s="9">
        <f ca="1">IF(P107="",TODAY()-O107,P107-O107)</f>
        <v>15</v>
      </c>
      <c r="R107" s="4" t="s">
        <v>43</v>
      </c>
      <c r="S107" s="5" t="s">
        <v>26</v>
      </c>
      <c r="T107" s="4" t="s">
        <v>38</v>
      </c>
      <c r="U107" s="5" t="s">
        <v>30</v>
      </c>
      <c r="W107" s="5" t="s">
        <v>38</v>
      </c>
      <c r="Z107" s="7" t="s">
        <v>328</v>
      </c>
    </row>
    <row r="108" spans="1:26" x14ac:dyDescent="0.25">
      <c r="A108" s="7" t="s">
        <v>289</v>
      </c>
      <c r="C108" s="5" t="s">
        <v>12</v>
      </c>
      <c r="D108" s="4" t="s">
        <v>20</v>
      </c>
      <c r="E108" s="5" t="s">
        <v>22</v>
      </c>
      <c r="F108" s="4" t="s">
        <v>246</v>
      </c>
      <c r="N108" s="4" t="s">
        <v>73</v>
      </c>
      <c r="O108" s="6">
        <v>44823</v>
      </c>
      <c r="P108" s="11">
        <v>44833</v>
      </c>
      <c r="Q108" s="9">
        <f ca="1">IF(P108="",TODAY()-O108,P108-O108)</f>
        <v>10</v>
      </c>
      <c r="R108" s="4" t="s">
        <v>42</v>
      </c>
      <c r="S108" s="5" t="s">
        <v>26</v>
      </c>
      <c r="T108" s="4" t="s">
        <v>38</v>
      </c>
      <c r="U108" s="5" t="s">
        <v>30</v>
      </c>
      <c r="W108" s="5" t="s">
        <v>38</v>
      </c>
      <c r="Z108" s="7" t="s">
        <v>400</v>
      </c>
    </row>
    <row r="109" spans="1:26" x14ac:dyDescent="0.25">
      <c r="A109" s="7" t="s">
        <v>2086</v>
      </c>
      <c r="B109" s="7" t="s">
        <v>1071</v>
      </c>
      <c r="C109" s="5" t="s">
        <v>620</v>
      </c>
      <c r="D109" s="4" t="s">
        <v>15</v>
      </c>
      <c r="E109" s="5" t="s">
        <v>25</v>
      </c>
      <c r="F109" s="4" t="s">
        <v>304</v>
      </c>
      <c r="G109" s="9" t="s">
        <v>51</v>
      </c>
      <c r="H109" s="32">
        <v>44841</v>
      </c>
      <c r="I109" s="33">
        <v>44866</v>
      </c>
      <c r="J109" s="4" t="s">
        <v>56</v>
      </c>
      <c r="K109" s="6">
        <v>44841</v>
      </c>
      <c r="L109" s="56"/>
      <c r="M109" s="56"/>
      <c r="N109" s="4" t="s">
        <v>73</v>
      </c>
      <c r="O109" s="6">
        <v>44825</v>
      </c>
      <c r="P109" s="11">
        <v>44953</v>
      </c>
      <c r="Q109" s="9">
        <f ca="1">IF(P109="",TODAY()-O109,P109-O109)</f>
        <v>128</v>
      </c>
      <c r="R109" s="4" t="s">
        <v>41</v>
      </c>
      <c r="S109" s="5" t="s">
        <v>26</v>
      </c>
      <c r="T109" s="4" t="s">
        <v>112</v>
      </c>
      <c r="U109" s="5" t="s">
        <v>30</v>
      </c>
      <c r="W109" s="5" t="s">
        <v>38</v>
      </c>
      <c r="X109" s="38" t="s">
        <v>2055</v>
      </c>
      <c r="Y109" s="44">
        <v>45253</v>
      </c>
      <c r="Z109" s="7" t="s">
        <v>2056</v>
      </c>
    </row>
    <row r="110" spans="1:26" x14ac:dyDescent="0.25">
      <c r="A110" s="7" t="s">
        <v>611</v>
      </c>
      <c r="C110" s="5" t="s">
        <v>620</v>
      </c>
      <c r="D110" s="4" t="s">
        <v>174</v>
      </c>
      <c r="E110" s="5" t="s">
        <v>24</v>
      </c>
      <c r="F110" s="4" t="s">
        <v>143</v>
      </c>
      <c r="G110" s="9" t="s">
        <v>51</v>
      </c>
      <c r="H110" s="32">
        <v>44840</v>
      </c>
      <c r="I110" s="33">
        <v>44866</v>
      </c>
      <c r="J110" s="4" t="s">
        <v>56</v>
      </c>
      <c r="K110" s="6">
        <v>44900</v>
      </c>
      <c r="L110" s="56"/>
      <c r="M110" s="56"/>
      <c r="N110" s="4" t="s">
        <v>73</v>
      </c>
      <c r="O110" s="6">
        <v>44825</v>
      </c>
      <c r="P110" s="11">
        <v>44912</v>
      </c>
      <c r="Q110" s="9">
        <f ca="1">IF(P110="",TODAY()-O110,P110-O110)</f>
        <v>87</v>
      </c>
      <c r="R110" s="4" t="s">
        <v>41</v>
      </c>
      <c r="S110" s="5" t="s">
        <v>26</v>
      </c>
      <c r="T110" s="4" t="s">
        <v>112</v>
      </c>
      <c r="U110" s="5" t="s">
        <v>30</v>
      </c>
      <c r="W110" s="5" t="s">
        <v>38</v>
      </c>
      <c r="Z110" s="7" t="s">
        <v>619</v>
      </c>
    </row>
    <row r="111" spans="1:26" x14ac:dyDescent="0.25">
      <c r="A111" s="7" t="s">
        <v>357</v>
      </c>
      <c r="C111" s="5" t="s">
        <v>12</v>
      </c>
      <c r="D111" s="4" t="s">
        <v>20</v>
      </c>
      <c r="F111" s="4" t="s">
        <v>271</v>
      </c>
      <c r="N111" s="4" t="s">
        <v>73</v>
      </c>
      <c r="O111" s="6">
        <v>44826</v>
      </c>
      <c r="Q111" s="9">
        <f ca="1">IF(P111="",TODAY()-O111,P111-O111)</f>
        <v>743</v>
      </c>
      <c r="S111" s="5" t="s">
        <v>26</v>
      </c>
      <c r="T111" s="4" t="s">
        <v>38</v>
      </c>
      <c r="U111" s="5" t="s">
        <v>30</v>
      </c>
      <c r="W111" s="5" t="s">
        <v>39</v>
      </c>
      <c r="Z111" s="7" t="s">
        <v>380</v>
      </c>
    </row>
    <row r="112" spans="1:26" x14ac:dyDescent="0.25">
      <c r="A112" s="7" t="s">
        <v>1199</v>
      </c>
      <c r="C112" s="5" t="s">
        <v>12</v>
      </c>
      <c r="D112" s="4" t="s">
        <v>16</v>
      </c>
      <c r="E112" s="5" t="s">
        <v>24</v>
      </c>
      <c r="F112" s="4" t="s">
        <v>271</v>
      </c>
      <c r="G112" s="9" t="s">
        <v>51</v>
      </c>
      <c r="H112" s="32">
        <v>44964</v>
      </c>
      <c r="I112" s="33">
        <v>44988</v>
      </c>
      <c r="J112" s="4" t="s">
        <v>503</v>
      </c>
      <c r="K112" s="6">
        <v>44988</v>
      </c>
      <c r="L112" s="56"/>
      <c r="M112" s="56"/>
      <c r="N112" s="4" t="s">
        <v>73</v>
      </c>
      <c r="O112" s="6">
        <v>44826</v>
      </c>
      <c r="P112" s="11">
        <v>45109</v>
      </c>
      <c r="Q112" s="9">
        <f ca="1">IF(P112="",TODAY()-O112,P112-O112)</f>
        <v>283</v>
      </c>
      <c r="R112" s="4" t="s">
        <v>41</v>
      </c>
      <c r="S112" s="5" t="s">
        <v>26</v>
      </c>
      <c r="T112" s="4" t="s">
        <v>199</v>
      </c>
      <c r="U112" s="5" t="s">
        <v>30</v>
      </c>
      <c r="V112" s="4">
        <v>947</v>
      </c>
      <c r="W112" s="5" t="s">
        <v>39</v>
      </c>
      <c r="X112" s="38" t="s">
        <v>1578</v>
      </c>
      <c r="Z112" s="7" t="s">
        <v>1577</v>
      </c>
    </row>
    <row r="113" spans="1:26" x14ac:dyDescent="0.25">
      <c r="A113" s="7" t="s">
        <v>1200</v>
      </c>
      <c r="C113" s="5" t="s">
        <v>12</v>
      </c>
      <c r="D113" s="4" t="s">
        <v>17</v>
      </c>
      <c r="F113" s="4" t="s">
        <v>271</v>
      </c>
      <c r="N113" s="4" t="s">
        <v>73</v>
      </c>
      <c r="O113" s="6">
        <v>44826</v>
      </c>
      <c r="Q113" s="9">
        <f ca="1">IF(P113="",TODAY()-O113,P113-O113)</f>
        <v>743</v>
      </c>
      <c r="S113" s="5" t="s">
        <v>26</v>
      </c>
      <c r="T113" s="4" t="s">
        <v>38</v>
      </c>
      <c r="U113" s="5" t="s">
        <v>30</v>
      </c>
      <c r="W113" s="5" t="s">
        <v>39</v>
      </c>
      <c r="Z113" s="7" t="s">
        <v>380</v>
      </c>
    </row>
    <row r="114" spans="1:26" x14ac:dyDescent="0.25">
      <c r="A114" s="7" t="s">
        <v>358</v>
      </c>
      <c r="C114" s="5" t="s">
        <v>12</v>
      </c>
      <c r="D114" s="4" t="s">
        <v>16</v>
      </c>
      <c r="F114" s="4" t="s">
        <v>271</v>
      </c>
      <c r="N114" s="4" t="s">
        <v>73</v>
      </c>
      <c r="O114" s="6">
        <v>44826</v>
      </c>
      <c r="P114" s="11">
        <v>44837</v>
      </c>
      <c r="Q114" s="9">
        <f ca="1">IF(P114="",TODAY()-O114,P114-O114)</f>
        <v>11</v>
      </c>
      <c r="R114" s="4" t="s">
        <v>43</v>
      </c>
      <c r="S114" s="5" t="s">
        <v>26</v>
      </c>
      <c r="T114" s="4" t="s">
        <v>38</v>
      </c>
      <c r="U114" s="5" t="s">
        <v>30</v>
      </c>
      <c r="W114" s="5" t="s">
        <v>39</v>
      </c>
      <c r="Z114" s="7" t="s">
        <v>359</v>
      </c>
    </row>
    <row r="115" spans="1:26" s="13" customFormat="1" ht="30" x14ac:dyDescent="0.25">
      <c r="A115" s="28" t="s">
        <v>305</v>
      </c>
      <c r="B115" s="28"/>
      <c r="C115" s="14" t="s">
        <v>12</v>
      </c>
      <c r="D115" s="13" t="s">
        <v>127</v>
      </c>
      <c r="E115" s="14" t="s">
        <v>23</v>
      </c>
      <c r="F115" s="13" t="s">
        <v>306</v>
      </c>
      <c r="G115" s="15"/>
      <c r="H115" s="31"/>
      <c r="I115" s="15"/>
      <c r="K115" s="14"/>
      <c r="L115" s="28"/>
      <c r="M115" s="28"/>
      <c r="N115" s="13" t="s">
        <v>73</v>
      </c>
      <c r="O115" s="16">
        <v>44828</v>
      </c>
      <c r="P115" s="36">
        <v>44842</v>
      </c>
      <c r="Q115" s="9">
        <f ca="1">IF(P115="",TODAY()-O115,P115-O115)</f>
        <v>14</v>
      </c>
      <c r="R115" s="13" t="s">
        <v>42</v>
      </c>
      <c r="S115" s="14" t="s">
        <v>26</v>
      </c>
      <c r="T115" s="13" t="s">
        <v>112</v>
      </c>
      <c r="U115" s="14" t="s">
        <v>31</v>
      </c>
      <c r="W115" s="14" t="s">
        <v>39</v>
      </c>
      <c r="X115" s="39"/>
      <c r="Y115" s="43"/>
      <c r="Z115" s="17" t="s">
        <v>389</v>
      </c>
    </row>
    <row r="116" spans="1:26" x14ac:dyDescent="0.25">
      <c r="A116" s="7" t="s">
        <v>670</v>
      </c>
      <c r="C116" s="5" t="s">
        <v>12</v>
      </c>
      <c r="D116" s="4" t="s">
        <v>20</v>
      </c>
      <c r="E116" s="5" t="s">
        <v>22</v>
      </c>
      <c r="F116" s="4" t="s">
        <v>307</v>
      </c>
      <c r="N116" s="4" t="s">
        <v>75</v>
      </c>
      <c r="O116" s="6">
        <v>44828</v>
      </c>
      <c r="P116" s="11">
        <v>44932</v>
      </c>
      <c r="Q116" s="9">
        <f ca="1">IF(P116="",TODAY()-O116,P116-O116)</f>
        <v>104</v>
      </c>
      <c r="R116" s="4" t="s">
        <v>41</v>
      </c>
      <c r="S116" s="5" t="s">
        <v>26</v>
      </c>
      <c r="T116" s="4" t="s">
        <v>38</v>
      </c>
      <c r="U116" s="5" t="s">
        <v>30</v>
      </c>
      <c r="W116" s="5" t="s">
        <v>38</v>
      </c>
      <c r="Z116" s="7" t="s">
        <v>379</v>
      </c>
    </row>
    <row r="117" spans="1:26" x14ac:dyDescent="0.25">
      <c r="A117" s="7" t="s">
        <v>671</v>
      </c>
      <c r="C117" s="5" t="s">
        <v>12</v>
      </c>
      <c r="D117" s="4" t="s">
        <v>20</v>
      </c>
      <c r="E117" s="5" t="s">
        <v>22</v>
      </c>
      <c r="F117" s="4" t="s">
        <v>307</v>
      </c>
      <c r="N117" s="4" t="s">
        <v>75</v>
      </c>
      <c r="O117" s="6">
        <v>44828</v>
      </c>
      <c r="P117" s="11">
        <v>44932</v>
      </c>
      <c r="Q117" s="9">
        <f ca="1">IF(P117="",TODAY()-O117,P117-O117)</f>
        <v>104</v>
      </c>
      <c r="R117" s="4" t="s">
        <v>41</v>
      </c>
      <c r="S117" s="5" t="s">
        <v>26</v>
      </c>
      <c r="T117" s="4" t="s">
        <v>420</v>
      </c>
      <c r="U117" s="5" t="s">
        <v>30</v>
      </c>
      <c r="W117" s="5" t="s">
        <v>38</v>
      </c>
      <c r="Z117" s="7" t="s">
        <v>379</v>
      </c>
    </row>
    <row r="118" spans="1:26" x14ac:dyDescent="0.25">
      <c r="A118" s="7" t="s">
        <v>308</v>
      </c>
      <c r="C118" s="5" t="s">
        <v>12</v>
      </c>
      <c r="D118" s="4" t="s">
        <v>311</v>
      </c>
      <c r="E118" s="5" t="s">
        <v>23</v>
      </c>
      <c r="F118" s="4" t="s">
        <v>104</v>
      </c>
      <c r="G118" s="9" t="s">
        <v>51</v>
      </c>
      <c r="H118" s="32">
        <v>44890</v>
      </c>
      <c r="I118" s="33">
        <v>44916</v>
      </c>
      <c r="J118" s="4" t="s">
        <v>101</v>
      </c>
      <c r="K118" s="6"/>
      <c r="L118" s="56"/>
      <c r="M118" s="56"/>
      <c r="N118" s="4" t="s">
        <v>73</v>
      </c>
      <c r="O118" s="6">
        <v>44828</v>
      </c>
      <c r="P118" s="11">
        <v>44955</v>
      </c>
      <c r="Q118" s="9">
        <f ca="1">IF(P118="",TODAY()-O118,P118-O118)</f>
        <v>127</v>
      </c>
      <c r="R118" s="4" t="s">
        <v>41</v>
      </c>
      <c r="S118" s="5" t="s">
        <v>122</v>
      </c>
      <c r="T118" s="4" t="s">
        <v>38</v>
      </c>
      <c r="U118" s="5" t="s">
        <v>29</v>
      </c>
      <c r="V118" s="4">
        <v>861.1</v>
      </c>
      <c r="W118" s="5" t="s">
        <v>39</v>
      </c>
      <c r="Z118" s="7" t="s">
        <v>626</v>
      </c>
    </row>
    <row r="119" spans="1:26" x14ac:dyDescent="0.25">
      <c r="A119" s="7" t="s">
        <v>309</v>
      </c>
      <c r="C119" s="5" t="s">
        <v>620</v>
      </c>
      <c r="D119" s="4" t="s">
        <v>17</v>
      </c>
      <c r="E119" s="5" t="s">
        <v>23</v>
      </c>
      <c r="F119" s="4" t="s">
        <v>104</v>
      </c>
      <c r="G119" s="9" t="s">
        <v>51</v>
      </c>
      <c r="H119" s="32">
        <v>44886</v>
      </c>
      <c r="I119" s="33">
        <v>44916</v>
      </c>
      <c r="J119" s="4" t="s">
        <v>101</v>
      </c>
      <c r="K119" s="6">
        <v>44959</v>
      </c>
      <c r="L119" s="56"/>
      <c r="M119" s="56"/>
      <c r="N119" s="4" t="s">
        <v>73</v>
      </c>
      <c r="O119" s="6">
        <v>44828</v>
      </c>
      <c r="Q119" s="9">
        <f ca="1">IF(P119="",TODAY()-O119,P119-O119)</f>
        <v>741</v>
      </c>
      <c r="S119" s="5" t="s">
        <v>122</v>
      </c>
      <c r="T119" s="4" t="s">
        <v>485</v>
      </c>
      <c r="U119" s="5" t="s">
        <v>29</v>
      </c>
      <c r="V119" s="4">
        <v>861.2</v>
      </c>
      <c r="W119" s="5" t="s">
        <v>39</v>
      </c>
      <c r="Z119" s="7" t="s">
        <v>627</v>
      </c>
    </row>
    <row r="120" spans="1:26" x14ac:dyDescent="0.25">
      <c r="A120" s="7" t="s">
        <v>310</v>
      </c>
      <c r="C120" s="5" t="s">
        <v>620</v>
      </c>
      <c r="D120" s="4" t="s">
        <v>713</v>
      </c>
      <c r="E120" s="5" t="s">
        <v>23</v>
      </c>
      <c r="F120" s="4" t="s">
        <v>104</v>
      </c>
      <c r="G120" s="9" t="s">
        <v>51</v>
      </c>
      <c r="H120" s="32">
        <v>44886</v>
      </c>
      <c r="I120" s="33">
        <v>44916</v>
      </c>
      <c r="J120" s="4" t="s">
        <v>101</v>
      </c>
      <c r="K120" s="6">
        <v>44959</v>
      </c>
      <c r="L120" s="56"/>
      <c r="M120" s="56"/>
      <c r="N120" s="4" t="s">
        <v>73</v>
      </c>
      <c r="O120" s="6">
        <v>44828</v>
      </c>
      <c r="Q120" s="9">
        <f ca="1">IF(P120="",TODAY()-O120,P120-O120)</f>
        <v>741</v>
      </c>
      <c r="S120" s="5" t="s">
        <v>122</v>
      </c>
      <c r="T120" s="4" t="s">
        <v>485</v>
      </c>
      <c r="U120" s="5" t="s">
        <v>29</v>
      </c>
      <c r="V120" s="4">
        <v>861.3</v>
      </c>
      <c r="W120" s="5" t="s">
        <v>39</v>
      </c>
      <c r="Z120" s="7" t="s">
        <v>625</v>
      </c>
    </row>
    <row r="121" spans="1:26" x14ac:dyDescent="0.25">
      <c r="A121" s="7" t="s">
        <v>316</v>
      </c>
      <c r="C121" s="5" t="s">
        <v>12</v>
      </c>
      <c r="D121" s="4" t="s">
        <v>311</v>
      </c>
      <c r="E121" s="5" t="s">
        <v>23</v>
      </c>
      <c r="F121" s="4" t="s">
        <v>156</v>
      </c>
      <c r="G121" s="9" t="s">
        <v>51</v>
      </c>
      <c r="H121" s="32">
        <v>44882</v>
      </c>
      <c r="I121" s="33">
        <v>44908</v>
      </c>
      <c r="J121" s="4" t="s">
        <v>102</v>
      </c>
      <c r="K121" s="6">
        <v>44882</v>
      </c>
      <c r="L121" s="56"/>
      <c r="M121" s="56"/>
      <c r="N121" s="4" t="s">
        <v>73</v>
      </c>
      <c r="O121" s="6">
        <v>44828</v>
      </c>
      <c r="P121" s="11">
        <v>44940</v>
      </c>
      <c r="Q121" s="9">
        <f ca="1">IF(P121="",TODAY()-O121,P121-O121)</f>
        <v>112</v>
      </c>
      <c r="R121" s="4" t="s">
        <v>41</v>
      </c>
      <c r="S121" s="5" t="s">
        <v>26</v>
      </c>
      <c r="T121" s="4" t="s">
        <v>38</v>
      </c>
      <c r="U121" s="5" t="s">
        <v>33</v>
      </c>
      <c r="W121" s="5" t="s">
        <v>39</v>
      </c>
      <c r="Z121" s="7" t="s">
        <v>659</v>
      </c>
    </row>
    <row r="122" spans="1:26" x14ac:dyDescent="0.25">
      <c r="A122" s="7" t="s">
        <v>317</v>
      </c>
      <c r="C122" s="5" t="s">
        <v>12</v>
      </c>
      <c r="D122" s="4" t="s">
        <v>311</v>
      </c>
      <c r="E122" s="5" t="s">
        <v>23</v>
      </c>
      <c r="F122" s="4" t="s">
        <v>175</v>
      </c>
      <c r="N122" s="4" t="s">
        <v>73</v>
      </c>
      <c r="O122" s="6">
        <v>44828</v>
      </c>
      <c r="P122" s="11">
        <v>44837</v>
      </c>
      <c r="Q122" s="9">
        <f ca="1">IF(P122="",TODAY()-O122,P122-O122)</f>
        <v>9</v>
      </c>
      <c r="R122" s="4" t="s">
        <v>43</v>
      </c>
      <c r="S122" s="5" t="s">
        <v>26</v>
      </c>
      <c r="T122" s="4" t="s">
        <v>38</v>
      </c>
      <c r="W122" s="5" t="s">
        <v>39</v>
      </c>
    </row>
    <row r="123" spans="1:26" x14ac:dyDescent="0.25">
      <c r="A123" s="7" t="s">
        <v>318</v>
      </c>
      <c r="C123" s="5" t="s">
        <v>12</v>
      </c>
      <c r="D123" s="4" t="s">
        <v>311</v>
      </c>
      <c r="E123" s="5" t="s">
        <v>23</v>
      </c>
      <c r="F123" s="4" t="s">
        <v>175</v>
      </c>
      <c r="G123" s="9" t="s">
        <v>51</v>
      </c>
      <c r="H123" s="32">
        <v>44881</v>
      </c>
      <c r="I123" s="33">
        <v>44902</v>
      </c>
      <c r="J123" s="4" t="s">
        <v>503</v>
      </c>
      <c r="N123" s="4" t="s">
        <v>73</v>
      </c>
      <c r="O123" s="6">
        <v>44828</v>
      </c>
      <c r="P123" s="11">
        <v>44923</v>
      </c>
      <c r="Q123" s="9">
        <f ca="1">IF(P123="",TODAY()-O123,P123-O123)</f>
        <v>95</v>
      </c>
      <c r="R123" s="4" t="s">
        <v>41</v>
      </c>
      <c r="S123" s="5" t="s">
        <v>26</v>
      </c>
      <c r="T123" s="4" t="s">
        <v>38</v>
      </c>
      <c r="U123" s="5" t="s">
        <v>30</v>
      </c>
      <c r="W123" s="5" t="s">
        <v>39</v>
      </c>
      <c r="Z123" s="7" t="s">
        <v>622</v>
      </c>
    </row>
    <row r="124" spans="1:26" x14ac:dyDescent="0.25">
      <c r="A124" s="7" t="s">
        <v>421</v>
      </c>
      <c r="C124" s="5" t="s">
        <v>12</v>
      </c>
      <c r="D124" s="4" t="s">
        <v>17</v>
      </c>
      <c r="E124" s="5" t="s">
        <v>23</v>
      </c>
      <c r="F124" s="4" t="s">
        <v>422</v>
      </c>
      <c r="N124" s="4" t="s">
        <v>73</v>
      </c>
      <c r="O124" s="6">
        <v>44829</v>
      </c>
      <c r="Q124" s="9">
        <f ca="1">IF(P124="",TODAY()-O124,P124-O124)</f>
        <v>740</v>
      </c>
      <c r="S124" s="5" t="s">
        <v>26</v>
      </c>
      <c r="T124" s="4" t="s">
        <v>425</v>
      </c>
    </row>
    <row r="125" spans="1:26" x14ac:dyDescent="0.25">
      <c r="A125" s="7" t="s">
        <v>426</v>
      </c>
      <c r="C125" s="5" t="s">
        <v>12</v>
      </c>
      <c r="E125" s="5" t="s">
        <v>22</v>
      </c>
      <c r="F125" s="4" t="s">
        <v>143</v>
      </c>
      <c r="N125" s="4" t="s">
        <v>73</v>
      </c>
      <c r="O125" s="6">
        <v>44829</v>
      </c>
      <c r="Q125" s="9">
        <f ca="1">IF(P125="",TODAY()-O125,P125-O125)</f>
        <v>740</v>
      </c>
      <c r="S125" s="5" t="s">
        <v>26</v>
      </c>
      <c r="T125" s="4" t="s">
        <v>425</v>
      </c>
    </row>
    <row r="126" spans="1:26" x14ac:dyDescent="0.25">
      <c r="A126" s="7" t="s">
        <v>427</v>
      </c>
      <c r="C126" s="5" t="s">
        <v>12</v>
      </c>
      <c r="E126" s="5" t="s">
        <v>22</v>
      </c>
      <c r="F126" s="4" t="s">
        <v>143</v>
      </c>
      <c r="N126" s="4" t="s">
        <v>73</v>
      </c>
      <c r="O126" s="6">
        <v>44829</v>
      </c>
      <c r="Q126" s="9">
        <f ca="1">IF(P126="",TODAY()-O126,P126-O126)</f>
        <v>740</v>
      </c>
      <c r="S126" s="5" t="s">
        <v>26</v>
      </c>
      <c r="T126" s="4" t="s">
        <v>425</v>
      </c>
    </row>
    <row r="127" spans="1:26" x14ac:dyDescent="0.25">
      <c r="A127" s="7" t="s">
        <v>427</v>
      </c>
      <c r="C127" s="5" t="s">
        <v>12</v>
      </c>
      <c r="E127" s="5" t="s">
        <v>23</v>
      </c>
      <c r="F127" s="4" t="s">
        <v>143</v>
      </c>
      <c r="N127" s="4" t="s">
        <v>73</v>
      </c>
      <c r="O127" s="6">
        <v>44829</v>
      </c>
      <c r="Q127" s="9">
        <f ca="1">IF(P127="",TODAY()-O127,P127-O127)</f>
        <v>740</v>
      </c>
      <c r="S127" s="5" t="s">
        <v>26</v>
      </c>
      <c r="T127" s="4" t="s">
        <v>425</v>
      </c>
    </row>
    <row r="128" spans="1:26" x14ac:dyDescent="0.25">
      <c r="A128" s="7" t="s">
        <v>428</v>
      </c>
      <c r="C128" s="5" t="s">
        <v>12</v>
      </c>
      <c r="D128" s="4" t="s">
        <v>14</v>
      </c>
      <c r="E128" s="5" t="s">
        <v>22</v>
      </c>
      <c r="F128" s="4" t="s">
        <v>384</v>
      </c>
      <c r="L128" s="7" t="s">
        <v>2017</v>
      </c>
      <c r="M128" s="7" t="s">
        <v>2016</v>
      </c>
      <c r="N128" s="4" t="s">
        <v>73</v>
      </c>
      <c r="O128" s="6">
        <v>44829</v>
      </c>
      <c r="P128" s="11">
        <v>45418</v>
      </c>
      <c r="Q128" s="9">
        <f ca="1">IF(P128="",TODAY()-O128,P128-O128)</f>
        <v>589</v>
      </c>
      <c r="R128" s="4" t="s">
        <v>42</v>
      </c>
      <c r="S128" s="5" t="s">
        <v>26</v>
      </c>
      <c r="T128" s="4" t="s">
        <v>425</v>
      </c>
      <c r="U128" s="5" t="s">
        <v>30</v>
      </c>
      <c r="V128" s="4">
        <v>843</v>
      </c>
      <c r="W128" s="5" t="s">
        <v>425</v>
      </c>
      <c r="Z128" s="7" t="s">
        <v>429</v>
      </c>
    </row>
    <row r="129" spans="1:26" ht="13.5" customHeight="1" x14ac:dyDescent="0.25">
      <c r="A129" s="7" t="s">
        <v>385</v>
      </c>
      <c r="C129" s="5" t="s">
        <v>12</v>
      </c>
      <c r="D129" s="4" t="s">
        <v>20</v>
      </c>
      <c r="E129" s="5" t="s">
        <v>23</v>
      </c>
      <c r="F129" s="4" t="s">
        <v>384</v>
      </c>
      <c r="G129" s="9" t="s">
        <v>51</v>
      </c>
      <c r="N129" s="4" t="s">
        <v>75</v>
      </c>
      <c r="O129" s="6">
        <v>44834</v>
      </c>
      <c r="Q129" s="9">
        <f ca="1">IF(P129="",TODAY()-O129,P129-O129)</f>
        <v>735</v>
      </c>
      <c r="S129" s="5" t="s">
        <v>27</v>
      </c>
      <c r="U129" s="5" t="s">
        <v>30</v>
      </c>
      <c r="W129" s="5" t="s">
        <v>38</v>
      </c>
      <c r="Z129" s="7" t="s">
        <v>386</v>
      </c>
    </row>
    <row r="130" spans="1:26" x14ac:dyDescent="0.25">
      <c r="A130" s="7" t="s">
        <v>355</v>
      </c>
      <c r="C130" s="5" t="s">
        <v>12</v>
      </c>
      <c r="D130" s="4" t="s">
        <v>16</v>
      </c>
      <c r="E130" s="5" t="s">
        <v>23</v>
      </c>
      <c r="F130" s="4" t="s">
        <v>356</v>
      </c>
      <c r="N130" s="4" t="s">
        <v>73</v>
      </c>
      <c r="O130" s="6">
        <v>44835</v>
      </c>
      <c r="Q130" s="9">
        <f ca="1">IF(P130="",TODAY()-O130,P130-O130)</f>
        <v>734</v>
      </c>
      <c r="S130" s="5" t="s">
        <v>26</v>
      </c>
      <c r="T130" s="4" t="s">
        <v>378</v>
      </c>
      <c r="U130" s="5" t="s">
        <v>30</v>
      </c>
      <c r="W130" s="5" t="s">
        <v>39</v>
      </c>
      <c r="Z130" s="7" t="s">
        <v>400</v>
      </c>
    </row>
    <row r="131" spans="1:26" x14ac:dyDescent="0.25">
      <c r="A131" s="7" t="s">
        <v>621</v>
      </c>
      <c r="C131" s="5" t="s">
        <v>12</v>
      </c>
      <c r="D131" s="4" t="s">
        <v>20</v>
      </c>
      <c r="E131" s="5" t="s">
        <v>22</v>
      </c>
      <c r="F131" s="4" t="s">
        <v>104</v>
      </c>
      <c r="G131" s="9" t="s">
        <v>51</v>
      </c>
      <c r="H131" s="32">
        <v>44881</v>
      </c>
      <c r="I131" s="33">
        <v>44904</v>
      </c>
      <c r="J131" s="4" t="s">
        <v>101</v>
      </c>
      <c r="N131" s="4" t="s">
        <v>73</v>
      </c>
      <c r="O131" s="6">
        <v>44837</v>
      </c>
      <c r="P131" s="11">
        <v>44926</v>
      </c>
      <c r="Q131" s="9">
        <f ca="1">IF(P131="",TODAY()-O131,P131-O131)</f>
        <v>89</v>
      </c>
      <c r="R131" s="4" t="s">
        <v>41</v>
      </c>
      <c r="S131" s="5" t="s">
        <v>26</v>
      </c>
      <c r="T131" s="4" t="s">
        <v>199</v>
      </c>
      <c r="U131" s="5" t="s">
        <v>30</v>
      </c>
      <c r="W131" s="5" t="s">
        <v>39</v>
      </c>
      <c r="Z131" s="7" t="s">
        <v>624</v>
      </c>
    </row>
    <row r="132" spans="1:26" x14ac:dyDescent="0.25">
      <c r="A132" s="7" t="s">
        <v>931</v>
      </c>
      <c r="C132" s="5" t="s">
        <v>12</v>
      </c>
      <c r="D132" s="4" t="s">
        <v>174</v>
      </c>
      <c r="E132" s="5" t="s">
        <v>22</v>
      </c>
      <c r="F132" s="4" t="s">
        <v>104</v>
      </c>
      <c r="G132" s="9" t="s">
        <v>51</v>
      </c>
      <c r="H132" s="32">
        <v>44881</v>
      </c>
      <c r="I132" s="33">
        <v>44904</v>
      </c>
      <c r="J132" s="4" t="s">
        <v>101</v>
      </c>
      <c r="N132" s="4" t="s">
        <v>73</v>
      </c>
      <c r="O132" s="6">
        <v>44837</v>
      </c>
      <c r="P132" s="11">
        <v>44918</v>
      </c>
      <c r="Q132" s="9">
        <f ca="1">IF(P132="",TODAY()-O132,P132-O132)</f>
        <v>81</v>
      </c>
      <c r="R132" s="4" t="s">
        <v>41</v>
      </c>
      <c r="S132" s="5" t="s">
        <v>26</v>
      </c>
      <c r="T132" s="4" t="s">
        <v>199</v>
      </c>
      <c r="U132" s="5" t="s">
        <v>30</v>
      </c>
      <c r="W132" s="5" t="s">
        <v>39</v>
      </c>
      <c r="Z132" s="7" t="s">
        <v>624</v>
      </c>
    </row>
    <row r="133" spans="1:26" x14ac:dyDescent="0.25">
      <c r="A133" s="7" t="s">
        <v>360</v>
      </c>
      <c r="C133" s="5" t="s">
        <v>12</v>
      </c>
      <c r="D133" s="4" t="s">
        <v>18</v>
      </c>
      <c r="E133" s="5" t="s">
        <v>23</v>
      </c>
      <c r="F133" s="4" t="s">
        <v>104</v>
      </c>
      <c r="N133" s="4" t="s">
        <v>73</v>
      </c>
      <c r="O133" s="6">
        <v>44837</v>
      </c>
      <c r="P133" s="11">
        <v>44850</v>
      </c>
      <c r="Q133" s="9">
        <f ca="1">IF(P133="",TODAY()-O133,P133-O133)</f>
        <v>13</v>
      </c>
      <c r="R133" s="4" t="s">
        <v>43</v>
      </c>
      <c r="S133" s="5" t="s">
        <v>26</v>
      </c>
      <c r="T133" s="4" t="s">
        <v>38</v>
      </c>
      <c r="U133" s="5" t="s">
        <v>30</v>
      </c>
      <c r="W133" s="5" t="s">
        <v>39</v>
      </c>
      <c r="Z133" s="7" t="s">
        <v>401</v>
      </c>
    </row>
    <row r="134" spans="1:26" x14ac:dyDescent="0.25">
      <c r="A134" s="7" t="s">
        <v>404</v>
      </c>
      <c r="C134" s="5" t="s">
        <v>12</v>
      </c>
      <c r="D134" s="4" t="s">
        <v>17</v>
      </c>
      <c r="N134" s="4" t="s">
        <v>73</v>
      </c>
      <c r="O134" s="6">
        <v>44846</v>
      </c>
      <c r="P134" s="11">
        <v>44863</v>
      </c>
      <c r="Q134" s="9">
        <f ca="1">IF(P134="",TODAY()-O134,P134-O134)</f>
        <v>17</v>
      </c>
      <c r="R134" s="4" t="s">
        <v>43</v>
      </c>
      <c r="S134" s="5" t="s">
        <v>26</v>
      </c>
      <c r="T134" s="4" t="s">
        <v>38</v>
      </c>
      <c r="W134" s="5" t="s">
        <v>38</v>
      </c>
      <c r="Z134" s="7" t="s">
        <v>460</v>
      </c>
    </row>
    <row r="135" spans="1:26" x14ac:dyDescent="0.25">
      <c r="A135" s="7" t="s">
        <v>405</v>
      </c>
      <c r="C135" s="5" t="s">
        <v>12</v>
      </c>
      <c r="D135" s="4" t="s">
        <v>17</v>
      </c>
      <c r="N135" s="4" t="s">
        <v>73</v>
      </c>
      <c r="O135" s="6">
        <v>44846</v>
      </c>
      <c r="P135" s="11">
        <v>44868</v>
      </c>
      <c r="Q135" s="9">
        <f ca="1">IF(P135="",TODAY()-O135,P135-O135)</f>
        <v>22</v>
      </c>
      <c r="R135" s="4" t="s">
        <v>43</v>
      </c>
      <c r="S135" s="5" t="s">
        <v>26</v>
      </c>
      <c r="T135" s="4" t="s">
        <v>38</v>
      </c>
      <c r="W135" s="5" t="s">
        <v>38</v>
      </c>
      <c r="Z135" s="7" t="s">
        <v>460</v>
      </c>
    </row>
    <row r="136" spans="1:26" x14ac:dyDescent="0.25">
      <c r="A136" s="7" t="s">
        <v>406</v>
      </c>
      <c r="C136" s="5" t="s">
        <v>12</v>
      </c>
      <c r="D136" s="4" t="s">
        <v>20</v>
      </c>
      <c r="N136" s="4" t="s">
        <v>73</v>
      </c>
      <c r="O136" s="6">
        <v>44846</v>
      </c>
      <c r="P136" s="11">
        <v>44878</v>
      </c>
      <c r="Q136" s="9">
        <f ca="1">IF(P136="",TODAY()-O136,P136-O136)</f>
        <v>32</v>
      </c>
      <c r="R136" s="4" t="s">
        <v>43</v>
      </c>
      <c r="S136" s="5" t="s">
        <v>26</v>
      </c>
      <c r="T136" s="4" t="s">
        <v>38</v>
      </c>
      <c r="W136" s="5" t="s">
        <v>38</v>
      </c>
      <c r="Z136" s="7" t="s">
        <v>460</v>
      </c>
    </row>
    <row r="137" spans="1:26" x14ac:dyDescent="0.25">
      <c r="A137" s="7" t="s">
        <v>407</v>
      </c>
      <c r="C137" s="5" t="s">
        <v>12</v>
      </c>
      <c r="D137" s="4" t="s">
        <v>20</v>
      </c>
      <c r="N137" s="4" t="s">
        <v>73</v>
      </c>
      <c r="O137" s="6">
        <v>44846</v>
      </c>
      <c r="P137" s="11">
        <v>44878</v>
      </c>
      <c r="Q137" s="9">
        <f ca="1">IF(P137="",TODAY()-O137,P137-O137)</f>
        <v>32</v>
      </c>
      <c r="R137" s="4" t="s">
        <v>43</v>
      </c>
      <c r="S137" s="5" t="s">
        <v>26</v>
      </c>
      <c r="T137" s="4" t="s">
        <v>38</v>
      </c>
      <c r="W137" s="5" t="s">
        <v>38</v>
      </c>
      <c r="Z137" s="7" t="s">
        <v>460</v>
      </c>
    </row>
    <row r="138" spans="1:26" x14ac:dyDescent="0.25">
      <c r="A138" s="7" t="s">
        <v>409</v>
      </c>
      <c r="C138" s="5" t="s">
        <v>12</v>
      </c>
      <c r="D138" s="4" t="s">
        <v>16</v>
      </c>
      <c r="N138" s="4" t="s">
        <v>73</v>
      </c>
      <c r="O138" s="6">
        <v>44847</v>
      </c>
      <c r="P138" s="11">
        <v>44882</v>
      </c>
      <c r="Q138" s="9">
        <f ca="1">IF(P138="",TODAY()-O138,P138-O138)</f>
        <v>35</v>
      </c>
      <c r="R138" s="4" t="s">
        <v>43</v>
      </c>
      <c r="S138" s="5" t="s">
        <v>26</v>
      </c>
      <c r="T138" s="4" t="s">
        <v>38</v>
      </c>
      <c r="W138" s="5" t="s">
        <v>38</v>
      </c>
      <c r="Z138" s="7" t="s">
        <v>460</v>
      </c>
    </row>
    <row r="139" spans="1:26" x14ac:dyDescent="0.25">
      <c r="A139" s="7" t="s">
        <v>408</v>
      </c>
      <c r="C139" s="5" t="s">
        <v>12</v>
      </c>
      <c r="D139" s="4" t="s">
        <v>311</v>
      </c>
      <c r="N139" s="4" t="s">
        <v>73</v>
      </c>
      <c r="O139" s="6">
        <v>44847</v>
      </c>
      <c r="P139" s="11">
        <v>44904</v>
      </c>
      <c r="Q139" s="9">
        <f ca="1">IF(P139="",TODAY()-O139,P139-O139)</f>
        <v>57</v>
      </c>
      <c r="R139" s="4" t="s">
        <v>43</v>
      </c>
      <c r="S139" s="5" t="s">
        <v>26</v>
      </c>
      <c r="T139" s="4" t="s">
        <v>38</v>
      </c>
      <c r="W139" s="5" t="s">
        <v>38</v>
      </c>
      <c r="Z139" s="7" t="s">
        <v>460</v>
      </c>
    </row>
    <row r="140" spans="1:26" x14ac:dyDescent="0.25">
      <c r="A140" s="7" t="s">
        <v>480</v>
      </c>
      <c r="C140" s="5" t="s">
        <v>12</v>
      </c>
      <c r="D140" s="4" t="s">
        <v>311</v>
      </c>
      <c r="N140" s="4" t="s">
        <v>73</v>
      </c>
      <c r="O140" s="6">
        <v>44847</v>
      </c>
      <c r="P140" s="11">
        <v>44904</v>
      </c>
      <c r="Q140" s="9">
        <f ca="1">IF(P140="",TODAY()-O140,P140-O140)</f>
        <v>57</v>
      </c>
      <c r="R140" s="4" t="s">
        <v>43</v>
      </c>
      <c r="S140" s="5" t="s">
        <v>26</v>
      </c>
      <c r="T140" s="4" t="s">
        <v>38</v>
      </c>
      <c r="W140" s="5" t="s">
        <v>38</v>
      </c>
      <c r="Z140" s="7" t="s">
        <v>460</v>
      </c>
    </row>
    <row r="141" spans="1:26" x14ac:dyDescent="0.25">
      <c r="A141" s="7" t="s">
        <v>403</v>
      </c>
      <c r="C141" s="5" t="s">
        <v>12</v>
      </c>
      <c r="N141" s="4" t="s">
        <v>73</v>
      </c>
      <c r="O141" s="6">
        <v>44847</v>
      </c>
      <c r="P141" s="11">
        <v>44855</v>
      </c>
      <c r="Q141" s="9">
        <f ca="1">IF(P141="",TODAY()-O141,P141-O141)</f>
        <v>8</v>
      </c>
      <c r="R141" s="4" t="s">
        <v>43</v>
      </c>
      <c r="S141" s="5" t="s">
        <v>26</v>
      </c>
      <c r="T141" s="4" t="s">
        <v>38</v>
      </c>
      <c r="W141" s="5" t="s">
        <v>38</v>
      </c>
    </row>
    <row r="142" spans="1:26" x14ac:dyDescent="0.25">
      <c r="A142" s="7" t="s">
        <v>410</v>
      </c>
      <c r="C142" s="5" t="s">
        <v>12</v>
      </c>
      <c r="N142" s="4" t="s">
        <v>73</v>
      </c>
      <c r="O142" s="6">
        <v>44847</v>
      </c>
      <c r="P142" s="11">
        <v>44856</v>
      </c>
      <c r="Q142" s="9">
        <f ca="1">IF(P142="",TODAY()-O142,P142-O142)</f>
        <v>9</v>
      </c>
      <c r="R142" s="4" t="s">
        <v>42</v>
      </c>
      <c r="S142" s="5" t="s">
        <v>26</v>
      </c>
      <c r="T142" s="4" t="s">
        <v>38</v>
      </c>
      <c r="W142" s="5" t="s">
        <v>38</v>
      </c>
    </row>
    <row r="143" spans="1:26" x14ac:dyDescent="0.25">
      <c r="A143" s="7" t="s">
        <v>411</v>
      </c>
      <c r="C143" s="5" t="s">
        <v>12</v>
      </c>
      <c r="N143" s="4" t="s">
        <v>73</v>
      </c>
      <c r="O143" s="6">
        <v>44847</v>
      </c>
      <c r="P143" s="11">
        <v>44858</v>
      </c>
      <c r="Q143" s="9">
        <f ca="1">IF(P143="",TODAY()-O143,P143-O143)</f>
        <v>11</v>
      </c>
      <c r="R143" s="4" t="s">
        <v>42</v>
      </c>
      <c r="S143" s="5" t="s">
        <v>26</v>
      </c>
      <c r="T143" s="4" t="s">
        <v>38</v>
      </c>
      <c r="W143" s="5" t="s">
        <v>38</v>
      </c>
    </row>
    <row r="144" spans="1:26" x14ac:dyDescent="0.25">
      <c r="A144" s="7" t="s">
        <v>412</v>
      </c>
      <c r="C144" s="5" t="s">
        <v>12</v>
      </c>
      <c r="N144" s="4" t="s">
        <v>73</v>
      </c>
      <c r="O144" s="6">
        <v>44847</v>
      </c>
      <c r="P144" s="11">
        <v>44858</v>
      </c>
      <c r="Q144" s="9">
        <f ca="1">IF(P144="",TODAY()-O144,P144-O144)</f>
        <v>11</v>
      </c>
      <c r="R144" s="4" t="s">
        <v>42</v>
      </c>
      <c r="S144" s="5" t="s">
        <v>26</v>
      </c>
      <c r="T144" s="4" t="s">
        <v>38</v>
      </c>
      <c r="W144" s="5" t="s">
        <v>38</v>
      </c>
    </row>
    <row r="145" spans="1:26" x14ac:dyDescent="0.25">
      <c r="A145" s="7" t="s">
        <v>402</v>
      </c>
      <c r="C145" s="5" t="s">
        <v>12</v>
      </c>
      <c r="D145" s="4" t="s">
        <v>20</v>
      </c>
      <c r="E145" s="5" t="s">
        <v>23</v>
      </c>
      <c r="F145" s="4" t="s">
        <v>384</v>
      </c>
      <c r="G145" s="9" t="s">
        <v>51</v>
      </c>
      <c r="N145" s="4" t="s">
        <v>75</v>
      </c>
      <c r="O145" s="6">
        <v>44852</v>
      </c>
      <c r="P145" s="11">
        <v>44904</v>
      </c>
      <c r="Q145" s="9">
        <f ca="1">IF(P145="",TODAY()-O145,P145-O145)</f>
        <v>52</v>
      </c>
      <c r="R145" s="4" t="s">
        <v>41</v>
      </c>
      <c r="S145" s="5" t="s">
        <v>26</v>
      </c>
      <c r="T145" s="4" t="s">
        <v>38</v>
      </c>
      <c r="W145" s="5" t="s">
        <v>38</v>
      </c>
    </row>
    <row r="146" spans="1:26" x14ac:dyDescent="0.25">
      <c r="A146" s="7" t="s">
        <v>1059</v>
      </c>
      <c r="C146" s="5" t="s">
        <v>12</v>
      </c>
      <c r="E146" s="5" t="s">
        <v>25</v>
      </c>
      <c r="F146" s="4" t="s">
        <v>384</v>
      </c>
      <c r="G146" s="9" t="s">
        <v>51</v>
      </c>
      <c r="N146" s="4" t="s">
        <v>75</v>
      </c>
      <c r="O146" s="6">
        <v>44858</v>
      </c>
      <c r="P146" s="11">
        <v>44913</v>
      </c>
      <c r="Q146" s="9">
        <f ca="1">IF(P146="",TODAY()-O146,P146-O146)</f>
        <v>55</v>
      </c>
      <c r="R146" s="4" t="s">
        <v>41</v>
      </c>
      <c r="S146" s="5" t="s">
        <v>27</v>
      </c>
      <c r="W146" s="5" t="s">
        <v>148</v>
      </c>
    </row>
    <row r="147" spans="1:26" x14ac:dyDescent="0.25">
      <c r="A147" s="7" t="s">
        <v>1062</v>
      </c>
      <c r="C147" s="5" t="s">
        <v>12</v>
      </c>
      <c r="D147" s="4" t="s">
        <v>16</v>
      </c>
      <c r="E147" s="5" t="s">
        <v>24</v>
      </c>
      <c r="F147" s="4" t="s">
        <v>1064</v>
      </c>
      <c r="G147" s="9" t="s">
        <v>51</v>
      </c>
      <c r="N147" s="4" t="s">
        <v>75</v>
      </c>
      <c r="O147" s="6">
        <v>44858</v>
      </c>
      <c r="P147" s="11">
        <v>44877</v>
      </c>
      <c r="Q147" s="9">
        <f ca="1">IF(P147="",TODAY()-O147,P147-O147)</f>
        <v>19</v>
      </c>
      <c r="R147" s="4" t="s">
        <v>41</v>
      </c>
      <c r="S147" s="5" t="s">
        <v>27</v>
      </c>
      <c r="W147" s="5" t="s">
        <v>148</v>
      </c>
      <c r="X147" s="38" t="s">
        <v>1906</v>
      </c>
      <c r="Y147" s="44">
        <v>44657</v>
      </c>
    </row>
    <row r="148" spans="1:26" x14ac:dyDescent="0.25">
      <c r="A148" s="7" t="s">
        <v>1063</v>
      </c>
      <c r="C148" s="5" t="s">
        <v>12</v>
      </c>
      <c r="D148" s="4" t="s">
        <v>16</v>
      </c>
      <c r="E148" s="5" t="s">
        <v>25</v>
      </c>
      <c r="F148" s="11">
        <v>44639</v>
      </c>
      <c r="G148" s="9" t="s">
        <v>51</v>
      </c>
      <c r="N148" s="4" t="s">
        <v>75</v>
      </c>
      <c r="O148" s="6">
        <v>44858</v>
      </c>
      <c r="P148" s="11">
        <v>44877</v>
      </c>
      <c r="Q148" s="9">
        <f ca="1">IF(P148="",TODAY()-O148,P148-O148)</f>
        <v>19</v>
      </c>
      <c r="R148" s="4" t="s">
        <v>41</v>
      </c>
      <c r="S148" s="5" t="s">
        <v>27</v>
      </c>
      <c r="W148" s="5" t="s">
        <v>148</v>
      </c>
    </row>
    <row r="149" spans="1:26" x14ac:dyDescent="0.25">
      <c r="A149" s="7" t="s">
        <v>442</v>
      </c>
      <c r="C149" s="5" t="s">
        <v>12</v>
      </c>
      <c r="N149" s="4" t="s">
        <v>75</v>
      </c>
      <c r="O149" s="6">
        <v>44858</v>
      </c>
      <c r="Q149" s="9">
        <f ca="1">IF(P149="",TODAY()-O149,P149-O149)</f>
        <v>711</v>
      </c>
      <c r="S149" s="5" t="s">
        <v>27</v>
      </c>
      <c r="W149" s="5" t="s">
        <v>148</v>
      </c>
    </row>
    <row r="150" spans="1:26" x14ac:dyDescent="0.25">
      <c r="A150" s="7" t="s">
        <v>443</v>
      </c>
      <c r="C150" s="5" t="s">
        <v>12</v>
      </c>
      <c r="N150" s="4" t="s">
        <v>75</v>
      </c>
      <c r="O150" s="6">
        <v>44858</v>
      </c>
      <c r="Q150" s="9">
        <f ca="1">IF(P150="",TODAY()-O150,P150-O150)</f>
        <v>711</v>
      </c>
      <c r="S150" s="5" t="s">
        <v>27</v>
      </c>
      <c r="W150" s="5" t="s">
        <v>148</v>
      </c>
    </row>
    <row r="151" spans="1:26" x14ac:dyDescent="0.25">
      <c r="A151" s="7" t="s">
        <v>444</v>
      </c>
      <c r="C151" s="5" t="s">
        <v>12</v>
      </c>
      <c r="N151" s="4" t="s">
        <v>75</v>
      </c>
      <c r="O151" s="6">
        <v>44858</v>
      </c>
      <c r="Q151" s="9">
        <f ca="1">IF(P151="",TODAY()-O151,P151-O151)</f>
        <v>711</v>
      </c>
      <c r="S151" s="5" t="s">
        <v>27</v>
      </c>
      <c r="W151" s="5" t="s">
        <v>148</v>
      </c>
    </row>
    <row r="152" spans="1:26" ht="30" x14ac:dyDescent="0.25">
      <c r="A152" s="28" t="s">
        <v>451</v>
      </c>
      <c r="B152" s="28"/>
      <c r="C152" s="14" t="s">
        <v>12</v>
      </c>
      <c r="D152" s="13" t="s">
        <v>174</v>
      </c>
      <c r="E152" s="14" t="s">
        <v>23</v>
      </c>
      <c r="F152" s="13" t="s">
        <v>58</v>
      </c>
      <c r="G152" s="15" t="s">
        <v>51</v>
      </c>
      <c r="H152" s="31"/>
      <c r="I152" s="15"/>
      <c r="J152" s="13"/>
      <c r="K152" s="14"/>
      <c r="L152" s="28"/>
      <c r="M152" s="28"/>
      <c r="N152" s="13" t="s">
        <v>73</v>
      </c>
      <c r="O152" s="16">
        <v>44858</v>
      </c>
      <c r="P152" s="13"/>
      <c r="Q152" s="9">
        <f ca="1">IF(P152="",TODAY()-O152,P152-O152)</f>
        <v>711</v>
      </c>
      <c r="R152" s="13"/>
      <c r="S152" s="14" t="s">
        <v>26</v>
      </c>
      <c r="T152" s="13" t="s">
        <v>450</v>
      </c>
      <c r="U152" s="14" t="s">
        <v>452</v>
      </c>
      <c r="V152" s="13"/>
      <c r="W152" s="14" t="s">
        <v>39</v>
      </c>
      <c r="X152" s="39"/>
      <c r="Y152" s="43"/>
      <c r="Z152" s="17" t="s">
        <v>453</v>
      </c>
    </row>
    <row r="153" spans="1:26" x14ac:dyDescent="0.25">
      <c r="A153" s="28" t="s">
        <v>454</v>
      </c>
      <c r="B153" s="28"/>
      <c r="C153" s="14" t="s">
        <v>12</v>
      </c>
      <c r="D153" s="13" t="s">
        <v>17</v>
      </c>
      <c r="E153" s="14"/>
      <c r="F153" s="13" t="s">
        <v>144</v>
      </c>
      <c r="G153" s="15"/>
      <c r="H153" s="31"/>
      <c r="I153" s="15"/>
      <c r="J153" s="13"/>
      <c r="K153" s="14"/>
      <c r="L153" s="28"/>
      <c r="M153" s="28"/>
      <c r="N153" s="13" t="s">
        <v>73</v>
      </c>
      <c r="O153" s="16">
        <v>44861</v>
      </c>
      <c r="P153" s="36">
        <v>44872</v>
      </c>
      <c r="Q153" s="9">
        <f ca="1">IF(P153="",TODAY()-O153,P153-O153)</f>
        <v>11</v>
      </c>
      <c r="R153" s="13" t="s">
        <v>43</v>
      </c>
      <c r="S153" s="14" t="s">
        <v>26</v>
      </c>
      <c r="T153" s="13" t="s">
        <v>38</v>
      </c>
      <c r="U153" s="14"/>
      <c r="V153" s="13"/>
      <c r="W153" s="14" t="s">
        <v>38</v>
      </c>
      <c r="X153" s="39"/>
      <c r="Y153" s="43"/>
      <c r="Z153" s="17"/>
    </row>
    <row r="154" spans="1:26" x14ac:dyDescent="0.25">
      <c r="A154" s="28" t="s">
        <v>455</v>
      </c>
      <c r="B154" s="28"/>
      <c r="C154" s="14" t="s">
        <v>12</v>
      </c>
      <c r="D154" s="13" t="s">
        <v>17</v>
      </c>
      <c r="E154" s="14"/>
      <c r="F154" s="13" t="s">
        <v>144</v>
      </c>
      <c r="G154" s="15"/>
      <c r="H154" s="31"/>
      <c r="I154" s="15"/>
      <c r="J154" s="13"/>
      <c r="K154" s="14"/>
      <c r="L154" s="28"/>
      <c r="M154" s="28"/>
      <c r="N154" s="13" t="s">
        <v>73</v>
      </c>
      <c r="O154" s="16">
        <v>44861</v>
      </c>
      <c r="P154" s="36">
        <v>44874</v>
      </c>
      <c r="Q154" s="9">
        <f ca="1">IF(P154="",TODAY()-O154,P154-O154)</f>
        <v>13</v>
      </c>
      <c r="R154" s="13" t="s">
        <v>43</v>
      </c>
      <c r="S154" s="14" t="s">
        <v>26</v>
      </c>
      <c r="T154" s="13" t="s">
        <v>38</v>
      </c>
      <c r="U154" s="14"/>
      <c r="V154" s="13"/>
      <c r="W154" s="14" t="s">
        <v>38</v>
      </c>
      <c r="X154" s="39"/>
      <c r="Y154" s="43"/>
      <c r="Z154" s="17"/>
    </row>
    <row r="155" spans="1:26" x14ac:dyDescent="0.25">
      <c r="A155" s="28" t="s">
        <v>456</v>
      </c>
      <c r="B155" s="28"/>
      <c r="C155" s="14" t="s">
        <v>12</v>
      </c>
      <c r="D155" s="13" t="s">
        <v>174</v>
      </c>
      <c r="E155" s="14"/>
      <c r="F155" s="13" t="s">
        <v>144</v>
      </c>
      <c r="G155" s="15"/>
      <c r="H155" s="31"/>
      <c r="I155" s="15"/>
      <c r="J155" s="13"/>
      <c r="K155" s="14"/>
      <c r="L155" s="28"/>
      <c r="M155" s="28"/>
      <c r="N155" s="13" t="s">
        <v>73</v>
      </c>
      <c r="O155" s="16">
        <v>44861</v>
      </c>
      <c r="P155" s="13"/>
      <c r="Q155" s="9">
        <f ca="1">IF(P155="",TODAY()-O155,P155-O155)</f>
        <v>708</v>
      </c>
      <c r="R155" s="13"/>
      <c r="S155" s="14" t="s">
        <v>26</v>
      </c>
      <c r="T155" s="13" t="s">
        <v>38</v>
      </c>
      <c r="U155" s="14"/>
      <c r="V155" s="13"/>
      <c r="W155" s="14" t="s">
        <v>38</v>
      </c>
      <c r="X155" s="39"/>
      <c r="Y155" s="43"/>
      <c r="Z155" s="17"/>
    </row>
    <row r="156" spans="1:26" x14ac:dyDescent="0.25">
      <c r="A156" s="7" t="s">
        <v>681</v>
      </c>
      <c r="C156" s="5" t="s">
        <v>12</v>
      </c>
      <c r="D156" s="4" t="s">
        <v>311</v>
      </c>
      <c r="E156" s="5" t="s">
        <v>25</v>
      </c>
      <c r="F156" s="4" t="s">
        <v>682</v>
      </c>
      <c r="G156" s="9" t="s">
        <v>51</v>
      </c>
      <c r="H156" s="32">
        <v>44902</v>
      </c>
      <c r="I156" s="33">
        <v>44926</v>
      </c>
      <c r="J156" s="4" t="s">
        <v>102</v>
      </c>
      <c r="N156" s="4" t="s">
        <v>73</v>
      </c>
      <c r="O156" s="6">
        <v>44862</v>
      </c>
      <c r="P156" s="11">
        <v>44970</v>
      </c>
      <c r="Q156" s="9">
        <f ca="1">IF(P156="",TODAY()-O156,P156-O156)</f>
        <v>108</v>
      </c>
      <c r="R156" s="4" t="s">
        <v>41</v>
      </c>
      <c r="S156" s="5" t="s">
        <v>26</v>
      </c>
      <c r="T156" s="4" t="s">
        <v>690</v>
      </c>
      <c r="U156" s="5" t="s">
        <v>29</v>
      </c>
      <c r="V156" s="4">
        <v>874</v>
      </c>
      <c r="W156" s="5" t="s">
        <v>148</v>
      </c>
      <c r="Z156" s="7" t="s">
        <v>694</v>
      </c>
    </row>
    <row r="157" spans="1:26" s="13" customFormat="1" x14ac:dyDescent="0.25">
      <c r="A157" s="7" t="s">
        <v>430</v>
      </c>
      <c r="B157" s="7"/>
      <c r="C157" s="5" t="s">
        <v>12</v>
      </c>
      <c r="D157" s="4" t="s">
        <v>174</v>
      </c>
      <c r="E157" s="5" t="s">
        <v>22</v>
      </c>
      <c r="F157" s="4"/>
      <c r="G157" s="9"/>
      <c r="H157" s="30"/>
      <c r="I157" s="9"/>
      <c r="J157" s="4"/>
      <c r="K157" s="5"/>
      <c r="L157" s="7"/>
      <c r="M157" s="7"/>
      <c r="N157" s="4" t="s">
        <v>73</v>
      </c>
      <c r="O157" s="6">
        <v>44863</v>
      </c>
      <c r="P157" s="11">
        <v>44865</v>
      </c>
      <c r="Q157" s="9">
        <f ca="1">IF(P157="",TODAY()-O157,P157-O157)</f>
        <v>2</v>
      </c>
      <c r="R157" s="4" t="s">
        <v>431</v>
      </c>
      <c r="S157" s="5" t="s">
        <v>26</v>
      </c>
      <c r="T157" s="4"/>
      <c r="U157" s="5"/>
      <c r="V157" s="4"/>
      <c r="W157" s="5"/>
      <c r="X157" s="38"/>
      <c r="Y157" s="42"/>
      <c r="Z157" s="7" t="s">
        <v>432</v>
      </c>
    </row>
    <row r="158" spans="1:26" s="13" customFormat="1" ht="30" x14ac:dyDescent="0.25">
      <c r="A158" s="28" t="s">
        <v>458</v>
      </c>
      <c r="B158" s="28"/>
      <c r="C158" s="14" t="s">
        <v>12</v>
      </c>
      <c r="D158" s="13" t="s">
        <v>18</v>
      </c>
      <c r="E158" s="14" t="s">
        <v>25</v>
      </c>
      <c r="F158" s="13" t="s">
        <v>457</v>
      </c>
      <c r="G158" s="15"/>
      <c r="H158" s="31"/>
      <c r="I158" s="15"/>
      <c r="K158" s="14"/>
      <c r="L158" s="28"/>
      <c r="M158" s="28"/>
      <c r="N158" s="13" t="s">
        <v>75</v>
      </c>
      <c r="O158" s="16">
        <v>44863</v>
      </c>
      <c r="P158" s="36"/>
      <c r="Q158" s="9">
        <f ca="1">IF(P158="",TODAY()-O158,P158-O158)</f>
        <v>706</v>
      </c>
      <c r="S158" s="14" t="s">
        <v>121</v>
      </c>
      <c r="U158" s="14"/>
      <c r="W158" s="14" t="s">
        <v>38</v>
      </c>
      <c r="X158" s="39"/>
      <c r="Y158" s="43"/>
      <c r="Z158" s="17" t="s">
        <v>459</v>
      </c>
    </row>
    <row r="159" spans="1:26" s="13" customFormat="1" x14ac:dyDescent="0.25">
      <c r="A159" s="7" t="s">
        <v>441</v>
      </c>
      <c r="B159" s="7"/>
      <c r="C159" s="5" t="s">
        <v>12</v>
      </c>
      <c r="D159" s="4" t="s">
        <v>20</v>
      </c>
      <c r="E159" s="5" t="s">
        <v>22</v>
      </c>
      <c r="F159" s="4" t="s">
        <v>144</v>
      </c>
      <c r="G159" s="9" t="s">
        <v>51</v>
      </c>
      <c r="H159" s="30"/>
      <c r="I159" s="9"/>
      <c r="J159" s="4" t="s">
        <v>102</v>
      </c>
      <c r="K159" s="5"/>
      <c r="L159" s="7"/>
      <c r="M159" s="7"/>
      <c r="N159" s="4" t="s">
        <v>73</v>
      </c>
      <c r="O159" s="6">
        <v>44865</v>
      </c>
      <c r="P159" s="11">
        <v>44954</v>
      </c>
      <c r="Q159" s="9">
        <f ca="1">IF(P159="",TODAY()-O159,P159-O159)</f>
        <v>89</v>
      </c>
      <c r="R159" s="4"/>
      <c r="S159" s="5" t="s">
        <v>26</v>
      </c>
      <c r="T159" s="4" t="s">
        <v>440</v>
      </c>
      <c r="U159" s="5" t="s">
        <v>32</v>
      </c>
      <c r="V159" s="4"/>
      <c r="W159" s="5"/>
      <c r="X159" s="38"/>
      <c r="Y159" s="42"/>
      <c r="Z159" s="7" t="s">
        <v>435</v>
      </c>
    </row>
    <row r="160" spans="1:26" s="13" customFormat="1" x14ac:dyDescent="0.25">
      <c r="A160" s="7" t="s">
        <v>470</v>
      </c>
      <c r="B160" s="7"/>
      <c r="C160" s="5" t="s">
        <v>12</v>
      </c>
      <c r="D160" s="4" t="s">
        <v>17</v>
      </c>
      <c r="E160" s="5" t="s">
        <v>22</v>
      </c>
      <c r="F160" s="4" t="s">
        <v>433</v>
      </c>
      <c r="G160" s="9"/>
      <c r="H160" s="30"/>
      <c r="I160" s="9"/>
      <c r="J160" s="4"/>
      <c r="K160" s="5"/>
      <c r="L160" s="7"/>
      <c r="M160" s="7"/>
      <c r="N160" s="4" t="s">
        <v>73</v>
      </c>
      <c r="O160" s="6">
        <v>44866</v>
      </c>
      <c r="P160" s="11">
        <v>44872</v>
      </c>
      <c r="Q160" s="9">
        <f ca="1">IF(P160="",TODAY()-O160,P160-O160)</f>
        <v>6</v>
      </c>
      <c r="R160" s="4" t="s">
        <v>43</v>
      </c>
      <c r="S160" s="5" t="s">
        <v>26</v>
      </c>
      <c r="T160" s="4" t="s">
        <v>469</v>
      </c>
      <c r="U160" s="5" t="s">
        <v>29</v>
      </c>
      <c r="V160" s="4">
        <v>876</v>
      </c>
      <c r="W160" s="5" t="s">
        <v>39</v>
      </c>
      <c r="X160" s="38"/>
      <c r="Y160" s="42"/>
      <c r="Z160" s="7" t="s">
        <v>434</v>
      </c>
    </row>
    <row r="161" spans="1:26" x14ac:dyDescent="0.25">
      <c r="A161" s="7" t="s">
        <v>630</v>
      </c>
      <c r="C161" s="5" t="s">
        <v>12</v>
      </c>
      <c r="D161" s="4" t="s">
        <v>20</v>
      </c>
      <c r="E161" s="5" t="s">
        <v>22</v>
      </c>
      <c r="F161" s="4" t="s">
        <v>267</v>
      </c>
      <c r="N161" s="4" t="s">
        <v>73</v>
      </c>
      <c r="O161" s="6">
        <v>44870</v>
      </c>
      <c r="P161" s="11">
        <v>44876</v>
      </c>
      <c r="Q161" s="9">
        <f ca="1">IF(P161="",TODAY()-O161,P161-O161)</f>
        <v>6</v>
      </c>
      <c r="R161" s="4" t="s">
        <v>43</v>
      </c>
      <c r="S161" s="5" t="s">
        <v>26</v>
      </c>
      <c r="T161" s="4" t="s">
        <v>38</v>
      </c>
      <c r="U161" s="5" t="s">
        <v>30</v>
      </c>
      <c r="W161" s="5" t="s">
        <v>38</v>
      </c>
    </row>
    <row r="162" spans="1:26" s="13" customFormat="1" x14ac:dyDescent="0.25">
      <c r="A162" s="7" t="s">
        <v>478</v>
      </c>
      <c r="B162" s="7"/>
      <c r="C162" s="5" t="s">
        <v>12</v>
      </c>
      <c r="D162" s="4" t="s">
        <v>20</v>
      </c>
      <c r="E162" s="5" t="s">
        <v>22</v>
      </c>
      <c r="F162" s="4" t="s">
        <v>267</v>
      </c>
      <c r="G162" s="9"/>
      <c r="H162" s="30"/>
      <c r="I162" s="9"/>
      <c r="J162" s="4"/>
      <c r="K162" s="5"/>
      <c r="L162" s="7"/>
      <c r="M162" s="7"/>
      <c r="N162" s="4" t="s">
        <v>73</v>
      </c>
      <c r="O162" s="6">
        <v>44870</v>
      </c>
      <c r="P162" s="11">
        <v>44877</v>
      </c>
      <c r="Q162" s="9">
        <f ca="1">IF(P162="",TODAY()-O162,P162-O162)</f>
        <v>7</v>
      </c>
      <c r="R162" s="4" t="s">
        <v>42</v>
      </c>
      <c r="S162" s="5" t="s">
        <v>26</v>
      </c>
      <c r="T162" s="4" t="s">
        <v>38</v>
      </c>
      <c r="U162" s="5" t="s">
        <v>30</v>
      </c>
      <c r="V162" s="4"/>
      <c r="W162" s="5"/>
      <c r="X162" s="38"/>
      <c r="Y162" s="42"/>
      <c r="Z162" s="7"/>
    </row>
    <row r="163" spans="1:26" x14ac:dyDescent="0.25">
      <c r="A163" s="7" t="s">
        <v>479</v>
      </c>
      <c r="C163" s="5" t="s">
        <v>12</v>
      </c>
      <c r="D163" s="4" t="s">
        <v>20</v>
      </c>
      <c r="E163" s="5" t="s">
        <v>23</v>
      </c>
      <c r="F163" s="4" t="s">
        <v>267</v>
      </c>
      <c r="N163" s="4" t="s">
        <v>73</v>
      </c>
      <c r="O163" s="6">
        <v>44870</v>
      </c>
      <c r="P163" s="11">
        <v>44878</v>
      </c>
      <c r="Q163" s="9">
        <f ca="1">IF(P163="",TODAY()-O163,P163-O163)</f>
        <v>8</v>
      </c>
      <c r="R163" s="4" t="s">
        <v>42</v>
      </c>
      <c r="S163" s="5" t="s">
        <v>26</v>
      </c>
      <c r="T163" s="4" t="s">
        <v>38</v>
      </c>
      <c r="U163" s="5" t="s">
        <v>30</v>
      </c>
    </row>
    <row r="164" spans="1:26" x14ac:dyDescent="0.25">
      <c r="A164" s="7" t="s">
        <v>463</v>
      </c>
      <c r="C164" s="5" t="s">
        <v>12</v>
      </c>
      <c r="D164" s="4" t="s">
        <v>311</v>
      </c>
      <c r="E164" s="5" t="s">
        <v>23</v>
      </c>
      <c r="F164" s="4" t="s">
        <v>486</v>
      </c>
      <c r="G164" s="9" t="s">
        <v>51</v>
      </c>
      <c r="H164" s="32">
        <v>44882</v>
      </c>
      <c r="I164" s="33">
        <v>44904</v>
      </c>
      <c r="J164" s="4" t="s">
        <v>101</v>
      </c>
      <c r="K164" s="6">
        <v>44882</v>
      </c>
      <c r="L164" s="56"/>
      <c r="M164" s="56"/>
      <c r="N164" s="4" t="s">
        <v>73</v>
      </c>
      <c r="O164" s="6">
        <v>44873</v>
      </c>
      <c r="P164" s="11">
        <v>45067</v>
      </c>
      <c r="Q164" s="9">
        <f ca="1">IF(P164="",TODAY()-O164,P164-O164)</f>
        <v>194</v>
      </c>
      <c r="R164" s="4" t="s">
        <v>41</v>
      </c>
      <c r="S164" s="5" t="s">
        <v>26</v>
      </c>
      <c r="T164" s="4" t="s">
        <v>618</v>
      </c>
      <c r="U164" s="5" t="s">
        <v>29</v>
      </c>
      <c r="V164" s="4">
        <v>881</v>
      </c>
      <c r="W164" s="5" t="s">
        <v>39</v>
      </c>
    </row>
    <row r="165" spans="1:26" x14ac:dyDescent="0.25">
      <c r="A165" s="7" t="s">
        <v>498</v>
      </c>
      <c r="C165" s="5" t="s">
        <v>12</v>
      </c>
      <c r="D165" s="4" t="s">
        <v>20</v>
      </c>
      <c r="F165" s="4" t="s">
        <v>499</v>
      </c>
      <c r="K165" s="6"/>
      <c r="L165" s="56"/>
      <c r="M165" s="56"/>
      <c r="N165" s="4" t="s">
        <v>75</v>
      </c>
      <c r="O165" s="6">
        <v>44874</v>
      </c>
      <c r="Q165" s="9">
        <f ca="1">IF(P165="",TODAY()-O165,P165-O165)</f>
        <v>695</v>
      </c>
      <c r="S165" s="5" t="s">
        <v>26</v>
      </c>
      <c r="U165" s="5" t="s">
        <v>30</v>
      </c>
      <c r="W165" s="5" t="s">
        <v>39</v>
      </c>
      <c r="Z165" s="7" t="s">
        <v>500</v>
      </c>
    </row>
    <row r="166" spans="1:26" x14ac:dyDescent="0.25">
      <c r="A166" s="7" t="s">
        <v>501</v>
      </c>
      <c r="C166" s="5" t="s">
        <v>12</v>
      </c>
      <c r="D166" s="4" t="s">
        <v>16</v>
      </c>
      <c r="E166" s="5" t="s">
        <v>22</v>
      </c>
      <c r="F166" s="4" t="s">
        <v>384</v>
      </c>
      <c r="K166" s="6"/>
      <c r="L166" s="56"/>
      <c r="M166" s="56"/>
      <c r="N166" s="4" t="s">
        <v>75</v>
      </c>
      <c r="O166" s="6">
        <v>44874</v>
      </c>
      <c r="P166" s="11">
        <v>45134</v>
      </c>
      <c r="Q166" s="9">
        <f ca="1">IF(P166="",TODAY()-O166,P166-O166)</f>
        <v>260</v>
      </c>
      <c r="R166" s="4" t="s">
        <v>42</v>
      </c>
      <c r="S166" s="5" t="s">
        <v>26</v>
      </c>
      <c r="T166" s="4" t="s">
        <v>636</v>
      </c>
      <c r="U166" s="5" t="s">
        <v>30</v>
      </c>
      <c r="W166" s="5" t="s">
        <v>38</v>
      </c>
      <c r="Z166" s="7" t="s">
        <v>1370</v>
      </c>
    </row>
    <row r="167" spans="1:26" x14ac:dyDescent="0.25">
      <c r="A167" s="7" t="s">
        <v>465</v>
      </c>
      <c r="C167" s="5" t="s">
        <v>12</v>
      </c>
      <c r="D167" s="4" t="s">
        <v>311</v>
      </c>
      <c r="E167" s="5" t="s">
        <v>22</v>
      </c>
      <c r="F167" s="4" t="s">
        <v>194</v>
      </c>
      <c r="N167" s="4" t="s">
        <v>73</v>
      </c>
      <c r="O167" s="6">
        <v>44878</v>
      </c>
      <c r="Q167" s="9">
        <f ca="1">IF(P167="",TODAY()-O167,P167-O167)</f>
        <v>691</v>
      </c>
      <c r="S167" s="5" t="s">
        <v>26</v>
      </c>
      <c r="T167" s="4" t="s">
        <v>38</v>
      </c>
      <c r="W167" s="5" t="s">
        <v>39</v>
      </c>
      <c r="Z167" s="7" t="s">
        <v>464</v>
      </c>
    </row>
    <row r="168" spans="1:26" x14ac:dyDescent="0.25">
      <c r="A168" s="7" t="s">
        <v>471</v>
      </c>
      <c r="C168" s="5" t="s">
        <v>12</v>
      </c>
      <c r="D168" s="4" t="s">
        <v>311</v>
      </c>
      <c r="E168" s="5" t="s">
        <v>22</v>
      </c>
      <c r="F168" s="4" t="s">
        <v>466</v>
      </c>
      <c r="G168" s="9" t="s">
        <v>50</v>
      </c>
      <c r="H168" s="32">
        <v>44880</v>
      </c>
      <c r="I168" s="33">
        <v>44908</v>
      </c>
      <c r="J168" s="4" t="s">
        <v>102</v>
      </c>
      <c r="K168" s="6">
        <v>44908</v>
      </c>
      <c r="L168" s="56"/>
      <c r="M168" s="56"/>
      <c r="N168" s="4" t="s">
        <v>73</v>
      </c>
      <c r="O168" s="6">
        <v>44878</v>
      </c>
      <c r="Q168" s="9">
        <f ca="1">IF(P168="",TODAY()-O168,P168-O168)</f>
        <v>691</v>
      </c>
      <c r="S168" s="5" t="s">
        <v>27</v>
      </c>
      <c r="T168" s="4" t="s">
        <v>477</v>
      </c>
      <c r="U168" s="5" t="s">
        <v>29</v>
      </c>
      <c r="V168" s="4">
        <v>885</v>
      </c>
      <c r="W168" s="5" t="s">
        <v>39</v>
      </c>
    </row>
    <row r="169" spans="1:26" x14ac:dyDescent="0.25">
      <c r="A169" s="7" t="s">
        <v>630</v>
      </c>
      <c r="C169" s="5" t="s">
        <v>12</v>
      </c>
      <c r="D169" s="4" t="s">
        <v>16</v>
      </c>
      <c r="E169" s="5" t="s">
        <v>22</v>
      </c>
      <c r="F169" s="4" t="s">
        <v>495</v>
      </c>
      <c r="G169" s="9" t="s">
        <v>50</v>
      </c>
      <c r="N169" s="4" t="s">
        <v>75</v>
      </c>
      <c r="O169" s="6">
        <v>44880</v>
      </c>
      <c r="Q169" s="9">
        <f ca="1">IF(P169="",TODAY()-O169,P169-O169)</f>
        <v>689</v>
      </c>
      <c r="S169" s="5" t="s">
        <v>26</v>
      </c>
      <c r="U169" s="5" t="s">
        <v>30</v>
      </c>
      <c r="W169" s="5" t="s">
        <v>38</v>
      </c>
      <c r="Z169" s="7" t="s">
        <v>496</v>
      </c>
    </row>
    <row r="170" spans="1:26" x14ac:dyDescent="0.25">
      <c r="A170" s="7" t="s">
        <v>502</v>
      </c>
      <c r="C170" s="5" t="s">
        <v>12</v>
      </c>
      <c r="D170" s="4" t="s">
        <v>16</v>
      </c>
      <c r="E170" s="5" t="s">
        <v>23</v>
      </c>
      <c r="F170" s="4" t="s">
        <v>504</v>
      </c>
      <c r="G170" s="9" t="s">
        <v>50</v>
      </c>
      <c r="H170" s="32">
        <v>44881</v>
      </c>
      <c r="I170" s="33">
        <v>44910</v>
      </c>
      <c r="J170" s="4" t="s">
        <v>503</v>
      </c>
      <c r="N170" s="4" t="s">
        <v>73</v>
      </c>
      <c r="O170" s="6">
        <v>44881</v>
      </c>
      <c r="P170" s="11">
        <v>44923</v>
      </c>
      <c r="Q170" s="9">
        <f ca="1">IF(P170="",TODAY()-O170,P170-O170)</f>
        <v>42</v>
      </c>
      <c r="R170" s="4" t="s">
        <v>41</v>
      </c>
      <c r="S170" s="5" t="s">
        <v>27</v>
      </c>
      <c r="T170" s="4" t="s">
        <v>132</v>
      </c>
      <c r="U170" s="5" t="s">
        <v>30</v>
      </c>
      <c r="W170" s="5" t="s">
        <v>38</v>
      </c>
      <c r="Z170" s="7" t="s">
        <v>623</v>
      </c>
    </row>
    <row r="171" spans="1:26" x14ac:dyDescent="0.25">
      <c r="A171" s="7" t="s">
        <v>493</v>
      </c>
      <c r="C171" s="5" t="s">
        <v>12</v>
      </c>
      <c r="D171" s="4" t="s">
        <v>16</v>
      </c>
      <c r="E171" s="5" t="s">
        <v>22</v>
      </c>
      <c r="F171" s="4" t="s">
        <v>494</v>
      </c>
      <c r="N171" s="4" t="s">
        <v>75</v>
      </c>
      <c r="O171" s="6">
        <v>44889</v>
      </c>
      <c r="P171" s="11">
        <v>44905</v>
      </c>
      <c r="Q171" s="9">
        <f ca="1">IF(P171="",TODAY()-O171,P171-O171)</f>
        <v>16</v>
      </c>
      <c r="R171" s="4" t="s">
        <v>42</v>
      </c>
      <c r="S171" s="5" t="s">
        <v>26</v>
      </c>
      <c r="U171" s="5" t="s">
        <v>29</v>
      </c>
      <c r="V171" s="4">
        <v>887</v>
      </c>
      <c r="W171" s="5" t="s">
        <v>38</v>
      </c>
      <c r="Z171" s="7" t="s">
        <v>497</v>
      </c>
    </row>
    <row r="172" spans="1:26" x14ac:dyDescent="0.25">
      <c r="A172" s="7" t="s">
        <v>717</v>
      </c>
      <c r="C172" s="5" t="s">
        <v>12</v>
      </c>
      <c r="D172" s="4" t="s">
        <v>20</v>
      </c>
      <c r="E172" s="5" t="s">
        <v>24</v>
      </c>
      <c r="F172" s="4" t="s">
        <v>716</v>
      </c>
      <c r="K172" s="6">
        <v>44953</v>
      </c>
      <c r="L172" s="56"/>
      <c r="M172" s="56"/>
      <c r="N172" s="4" t="s">
        <v>73</v>
      </c>
      <c r="O172" s="6">
        <v>44902</v>
      </c>
      <c r="P172" s="11"/>
      <c r="Q172" s="9">
        <f ca="1">IF(P172="",TODAY()-O172,P172-O172)</f>
        <v>667</v>
      </c>
      <c r="S172" s="5" t="s">
        <v>26</v>
      </c>
      <c r="T172" s="4" t="s">
        <v>425</v>
      </c>
      <c r="U172" s="5" t="s">
        <v>29</v>
      </c>
      <c r="V172" s="4">
        <v>891</v>
      </c>
      <c r="W172" s="5" t="s">
        <v>38</v>
      </c>
    </row>
    <row r="173" spans="1:26" x14ac:dyDescent="0.25">
      <c r="A173" s="7" t="s">
        <v>718</v>
      </c>
      <c r="C173" s="5" t="s">
        <v>12</v>
      </c>
      <c r="D173" s="4" t="s">
        <v>20</v>
      </c>
      <c r="E173" s="5" t="s">
        <v>25</v>
      </c>
      <c r="F173" s="4" t="s">
        <v>716</v>
      </c>
      <c r="K173" s="6">
        <v>44981</v>
      </c>
      <c r="L173" s="56"/>
      <c r="M173" s="56"/>
      <c r="N173" s="4" t="s">
        <v>73</v>
      </c>
      <c r="O173" s="6">
        <v>44902</v>
      </c>
      <c r="P173" s="11"/>
      <c r="Q173" s="9">
        <f ca="1">IF(P173="",TODAY()-O173,P173-O173)</f>
        <v>667</v>
      </c>
      <c r="S173" s="5" t="s">
        <v>26</v>
      </c>
      <c r="T173" s="4" t="s">
        <v>425</v>
      </c>
      <c r="U173" s="5" t="s">
        <v>29</v>
      </c>
      <c r="V173" s="4">
        <v>892</v>
      </c>
      <c r="W173" s="5" t="s">
        <v>38</v>
      </c>
    </row>
    <row r="174" spans="1:26" x14ac:dyDescent="0.25">
      <c r="A174" s="7" t="s">
        <v>655</v>
      </c>
      <c r="C174" s="5" t="s">
        <v>12</v>
      </c>
      <c r="D174" s="4" t="s">
        <v>15</v>
      </c>
      <c r="E174" s="5" t="s">
        <v>23</v>
      </c>
      <c r="F174" s="4" t="s">
        <v>384</v>
      </c>
      <c r="G174" s="9" t="s">
        <v>50</v>
      </c>
      <c r="H174" s="32">
        <v>44925</v>
      </c>
      <c r="J174" s="4" t="s">
        <v>101</v>
      </c>
      <c r="N174" s="4" t="s">
        <v>73</v>
      </c>
      <c r="O174" s="6">
        <v>44908</v>
      </c>
      <c r="P174" s="11">
        <v>44968</v>
      </c>
      <c r="Q174" s="9">
        <f ca="1">IF(P174="",TODAY()-O174,P174-O174)</f>
        <v>60</v>
      </c>
      <c r="R174" s="4" t="s">
        <v>41</v>
      </c>
      <c r="S174" s="5" t="s">
        <v>26</v>
      </c>
      <c r="T174" s="4" t="s">
        <v>148</v>
      </c>
      <c r="U174" s="5" t="s">
        <v>29</v>
      </c>
      <c r="V174" s="4">
        <v>889</v>
      </c>
      <c r="W174" s="5" t="s">
        <v>148</v>
      </c>
      <c r="Z174" s="7" t="s">
        <v>656</v>
      </c>
    </row>
    <row r="175" spans="1:26" x14ac:dyDescent="0.25">
      <c r="A175" s="7" t="s">
        <v>628</v>
      </c>
      <c r="C175" s="5" t="s">
        <v>12</v>
      </c>
      <c r="D175" s="4" t="s">
        <v>20</v>
      </c>
      <c r="E175" s="5" t="s">
        <v>22</v>
      </c>
      <c r="F175" s="4" t="s">
        <v>583</v>
      </c>
      <c r="N175" s="4" t="s">
        <v>73</v>
      </c>
      <c r="O175" s="6">
        <v>44912</v>
      </c>
      <c r="P175" s="11">
        <v>44925</v>
      </c>
      <c r="Q175" s="9">
        <f ca="1">IF(P175="",TODAY()-O175,P175-O175)</f>
        <v>13</v>
      </c>
      <c r="R175" s="4" t="s">
        <v>42</v>
      </c>
      <c r="S175" s="5" t="s">
        <v>26</v>
      </c>
      <c r="T175" s="4" t="s">
        <v>38</v>
      </c>
      <c r="U175" s="5" t="s">
        <v>30</v>
      </c>
      <c r="W175" s="5" t="s">
        <v>39</v>
      </c>
      <c r="Z175" s="7" t="s">
        <v>629</v>
      </c>
    </row>
    <row r="176" spans="1:26" x14ac:dyDescent="0.25">
      <c r="A176" s="7" t="s">
        <v>633</v>
      </c>
      <c r="C176" s="5" t="s">
        <v>620</v>
      </c>
      <c r="D176" s="4" t="s">
        <v>14</v>
      </c>
      <c r="E176" s="5" t="s">
        <v>22</v>
      </c>
      <c r="N176" s="4" t="s">
        <v>75</v>
      </c>
      <c r="O176" s="6">
        <v>44914</v>
      </c>
      <c r="P176" s="11">
        <v>45091</v>
      </c>
      <c r="Q176" s="9">
        <f ca="1">IF(P176="",TODAY()-O176,P176-O176)</f>
        <v>177</v>
      </c>
      <c r="R176" s="4" t="s">
        <v>41</v>
      </c>
      <c r="S176" s="5" t="s">
        <v>631</v>
      </c>
      <c r="U176" s="5" t="s">
        <v>30</v>
      </c>
      <c r="W176" s="5" t="s">
        <v>38</v>
      </c>
      <c r="Z176" s="7" t="s">
        <v>632</v>
      </c>
    </row>
    <row r="177" spans="1:26" x14ac:dyDescent="0.25">
      <c r="A177" s="7" t="s">
        <v>634</v>
      </c>
      <c r="C177" s="5" t="s">
        <v>12</v>
      </c>
      <c r="D177" s="4" t="s">
        <v>17</v>
      </c>
      <c r="E177" s="5" t="s">
        <v>23</v>
      </c>
      <c r="F177" s="4" t="s">
        <v>575</v>
      </c>
      <c r="N177" s="4" t="s">
        <v>73</v>
      </c>
      <c r="O177" s="6">
        <v>44917</v>
      </c>
      <c r="Q177" s="9">
        <f ca="1">IF(P177="",TODAY()-O177,P177-O177)</f>
        <v>652</v>
      </c>
      <c r="S177" s="5" t="s">
        <v>631</v>
      </c>
      <c r="T177" s="4" t="s">
        <v>38</v>
      </c>
      <c r="U177" s="5" t="s">
        <v>30</v>
      </c>
      <c r="W177" s="5" t="s">
        <v>112</v>
      </c>
      <c r="Z177" s="7" t="s">
        <v>635</v>
      </c>
    </row>
    <row r="178" spans="1:26" x14ac:dyDescent="0.25">
      <c r="A178" s="7" t="s">
        <v>657</v>
      </c>
      <c r="C178" s="5" t="s">
        <v>12</v>
      </c>
      <c r="E178" s="5" t="s">
        <v>23</v>
      </c>
      <c r="N178" s="4" t="s">
        <v>75</v>
      </c>
      <c r="O178" s="6">
        <v>44919</v>
      </c>
      <c r="Q178" s="9">
        <f ca="1">IF(P178="",TODAY()-O178,P178-O178)</f>
        <v>650</v>
      </c>
      <c r="S178" s="5" t="s">
        <v>28</v>
      </c>
      <c r="U178" s="5" t="s">
        <v>29</v>
      </c>
      <c r="V178" s="4">
        <v>893</v>
      </c>
      <c r="Z178" s="7" t="s">
        <v>658</v>
      </c>
    </row>
    <row r="179" spans="1:26" x14ac:dyDescent="0.25">
      <c r="A179" s="7" t="s">
        <v>678</v>
      </c>
      <c r="C179" s="5" t="s">
        <v>12</v>
      </c>
      <c r="D179" s="4" t="s">
        <v>20</v>
      </c>
      <c r="E179" s="5" t="s">
        <v>22</v>
      </c>
      <c r="N179" s="4" t="s">
        <v>75</v>
      </c>
      <c r="O179" s="6">
        <v>44919</v>
      </c>
      <c r="Q179" s="9">
        <f ca="1">IF(P179="",TODAY()-O179,P179-O179)</f>
        <v>650</v>
      </c>
      <c r="S179" s="5" t="s">
        <v>28</v>
      </c>
      <c r="U179" s="5" t="s">
        <v>29</v>
      </c>
      <c r="V179" s="4">
        <v>894</v>
      </c>
      <c r="Z179" s="7" t="s">
        <v>658</v>
      </c>
    </row>
    <row r="180" spans="1:26" x14ac:dyDescent="0.25">
      <c r="A180" s="7" t="s">
        <v>679</v>
      </c>
      <c r="C180" s="5" t="s">
        <v>12</v>
      </c>
      <c r="D180" s="4" t="s">
        <v>20</v>
      </c>
      <c r="E180" s="5" t="s">
        <v>22</v>
      </c>
      <c r="N180" s="4" t="s">
        <v>75</v>
      </c>
      <c r="O180" s="6">
        <v>44919</v>
      </c>
      <c r="Q180" s="9">
        <f ca="1">IF(P180="",TODAY()-O180,P180-O180)</f>
        <v>650</v>
      </c>
      <c r="S180" s="5" t="s">
        <v>28</v>
      </c>
      <c r="U180" s="5" t="s">
        <v>29</v>
      </c>
      <c r="V180" s="4">
        <v>895</v>
      </c>
      <c r="Z180" s="7" t="s">
        <v>658</v>
      </c>
    </row>
    <row r="181" spans="1:26" x14ac:dyDescent="0.25">
      <c r="A181" s="7" t="s">
        <v>639</v>
      </c>
      <c r="B181" s="7" t="s">
        <v>1071</v>
      </c>
      <c r="C181" s="5" t="s">
        <v>620</v>
      </c>
      <c r="D181" s="4" t="s">
        <v>20</v>
      </c>
      <c r="E181" s="5" t="s">
        <v>23</v>
      </c>
      <c r="F181" s="4" t="s">
        <v>640</v>
      </c>
      <c r="G181" s="9" t="s">
        <v>51</v>
      </c>
      <c r="H181" s="32">
        <v>44951</v>
      </c>
      <c r="I181" s="33">
        <v>44972</v>
      </c>
      <c r="J181" s="4" t="s">
        <v>102</v>
      </c>
      <c r="K181" s="6">
        <v>44972</v>
      </c>
      <c r="L181" s="56"/>
      <c r="M181" s="56"/>
      <c r="N181" s="4" t="s">
        <v>73</v>
      </c>
      <c r="O181" s="6">
        <v>44929</v>
      </c>
      <c r="P181" s="11">
        <v>45045</v>
      </c>
      <c r="Q181" s="9">
        <f ca="1">IF(P181="",TODAY()-O181,P181-O181)</f>
        <v>116</v>
      </c>
      <c r="R181" s="4" t="s">
        <v>41</v>
      </c>
      <c r="S181" s="5" t="s">
        <v>26</v>
      </c>
      <c r="T181" s="4" t="s">
        <v>132</v>
      </c>
      <c r="U181" s="5" t="s">
        <v>29</v>
      </c>
      <c r="V181" s="4">
        <v>896</v>
      </c>
      <c r="W181" s="5" t="s">
        <v>39</v>
      </c>
      <c r="Z181" s="7" t="s">
        <v>641</v>
      </c>
    </row>
    <row r="182" spans="1:26" x14ac:dyDescent="0.25">
      <c r="A182" s="7" t="s">
        <v>651</v>
      </c>
      <c r="C182" s="5" t="s">
        <v>12</v>
      </c>
      <c r="D182" s="4" t="s">
        <v>311</v>
      </c>
      <c r="E182" s="5" t="s">
        <v>22</v>
      </c>
      <c r="F182" s="4" t="s">
        <v>384</v>
      </c>
      <c r="O182" s="6">
        <v>44931</v>
      </c>
      <c r="P182" s="11">
        <v>44931</v>
      </c>
      <c r="Q182" s="9">
        <f ca="1">IF(P182="",TODAY()-O182,P182-O182)</f>
        <v>0</v>
      </c>
      <c r="R182" s="4" t="s">
        <v>42</v>
      </c>
      <c r="S182" s="5" t="s">
        <v>26</v>
      </c>
      <c r="U182" s="5" t="s">
        <v>30</v>
      </c>
      <c r="W182" s="5" t="s">
        <v>38</v>
      </c>
      <c r="Z182" s="7" t="s">
        <v>652</v>
      </c>
    </row>
    <row r="183" spans="1:26" x14ac:dyDescent="0.25">
      <c r="A183" s="7" t="s">
        <v>650</v>
      </c>
      <c r="C183" s="5" t="s">
        <v>12</v>
      </c>
      <c r="D183" s="4" t="s">
        <v>20</v>
      </c>
      <c r="E183" s="5" t="s">
        <v>24</v>
      </c>
      <c r="F183" s="4" t="s">
        <v>1068</v>
      </c>
      <c r="N183" s="4" t="s">
        <v>75</v>
      </c>
      <c r="O183" s="6">
        <v>44932</v>
      </c>
      <c r="Q183" s="9">
        <f ca="1">IF(P183="",TODAY()-O183,P183-O183)</f>
        <v>637</v>
      </c>
      <c r="S183" s="5" t="s">
        <v>26</v>
      </c>
      <c r="W183" s="5" t="s">
        <v>38</v>
      </c>
    </row>
    <row r="184" spans="1:26" x14ac:dyDescent="0.25">
      <c r="A184" s="7" t="s">
        <v>653</v>
      </c>
      <c r="C184" s="5" t="s">
        <v>12</v>
      </c>
      <c r="D184" s="4" t="s">
        <v>311</v>
      </c>
      <c r="E184" s="5" t="s">
        <v>25</v>
      </c>
      <c r="F184" s="4" t="s">
        <v>644</v>
      </c>
      <c r="G184" s="9" t="s">
        <v>51</v>
      </c>
      <c r="H184" s="32">
        <v>44938</v>
      </c>
      <c r="I184" s="33">
        <v>44972</v>
      </c>
      <c r="J184" s="4" t="s">
        <v>102</v>
      </c>
      <c r="K184" s="6">
        <v>41675</v>
      </c>
      <c r="L184" s="56"/>
      <c r="M184" s="56"/>
      <c r="N184" s="4" t="s">
        <v>75</v>
      </c>
      <c r="O184" s="6">
        <v>44934</v>
      </c>
      <c r="P184" s="11">
        <v>44992</v>
      </c>
      <c r="Q184" s="9">
        <f ca="1">IF(P184="",TODAY()-O184,P184-O184)</f>
        <v>58</v>
      </c>
      <c r="R184" s="4" t="s">
        <v>41</v>
      </c>
      <c r="S184" s="5" t="s">
        <v>27</v>
      </c>
      <c r="U184" s="5" t="s">
        <v>30</v>
      </c>
      <c r="W184" s="5" t="s">
        <v>39</v>
      </c>
      <c r="Z184" s="7" t="s">
        <v>645</v>
      </c>
    </row>
    <row r="185" spans="1:26" x14ac:dyDescent="0.25">
      <c r="A185" s="7" t="s">
        <v>695</v>
      </c>
      <c r="C185" s="5" t="s">
        <v>12</v>
      </c>
      <c r="D185" s="4" t="s">
        <v>16</v>
      </c>
      <c r="E185" s="5" t="s">
        <v>22</v>
      </c>
      <c r="F185" s="4" t="s">
        <v>646</v>
      </c>
      <c r="K185" s="6"/>
      <c r="L185" s="56"/>
      <c r="M185" s="56"/>
      <c r="N185" s="4" t="s">
        <v>73</v>
      </c>
      <c r="O185" s="6">
        <v>44935</v>
      </c>
      <c r="P185" s="11">
        <v>44968</v>
      </c>
      <c r="Q185" s="9">
        <f ca="1">IF(P185="",TODAY()-O185,P185-O185)</f>
        <v>33</v>
      </c>
      <c r="R185" s="4" t="s">
        <v>41</v>
      </c>
      <c r="S185" s="5" t="s">
        <v>121</v>
      </c>
      <c r="U185" s="5" t="s">
        <v>29</v>
      </c>
      <c r="V185" s="4">
        <v>897</v>
      </c>
      <c r="W185" s="5" t="s">
        <v>148</v>
      </c>
      <c r="Z185" s="7" t="s">
        <v>647</v>
      </c>
    </row>
    <row r="186" spans="1:26" x14ac:dyDescent="0.25">
      <c r="A186" s="7" t="s">
        <v>696</v>
      </c>
      <c r="C186" s="5" t="s">
        <v>12</v>
      </c>
      <c r="D186" s="4" t="s">
        <v>16</v>
      </c>
      <c r="E186" s="5" t="s">
        <v>22</v>
      </c>
      <c r="F186" s="4" t="s">
        <v>583</v>
      </c>
      <c r="K186" s="6"/>
      <c r="L186" s="56"/>
      <c r="M186" s="56"/>
      <c r="N186" s="4" t="s">
        <v>73</v>
      </c>
      <c r="O186" s="6">
        <v>44935</v>
      </c>
      <c r="P186" s="11">
        <v>44968</v>
      </c>
      <c r="Q186" s="9">
        <f ca="1">IF(P186="",TODAY()-O186,P186-O186)</f>
        <v>33</v>
      </c>
      <c r="R186" s="4" t="s">
        <v>41</v>
      </c>
      <c r="S186" s="5" t="s">
        <v>121</v>
      </c>
      <c r="U186" s="5" t="s">
        <v>29</v>
      </c>
      <c r="V186" s="4">
        <v>898</v>
      </c>
      <c r="W186" s="5" t="s">
        <v>148</v>
      </c>
      <c r="Z186" s="7" t="s">
        <v>647</v>
      </c>
    </row>
    <row r="187" spans="1:26" x14ac:dyDescent="0.25">
      <c r="A187" s="7" t="s">
        <v>649</v>
      </c>
      <c r="C187" s="5" t="s">
        <v>12</v>
      </c>
      <c r="D187" s="4" t="s">
        <v>654</v>
      </c>
      <c r="E187" s="5" t="s">
        <v>22</v>
      </c>
      <c r="F187" s="4" t="s">
        <v>384</v>
      </c>
      <c r="K187" s="6"/>
      <c r="L187" s="56"/>
      <c r="M187" s="56"/>
      <c r="N187" s="4" t="s">
        <v>73</v>
      </c>
      <c r="O187" s="6">
        <v>44935</v>
      </c>
      <c r="Q187" s="9">
        <f ca="1">IF(P187="",TODAY()-O187,P187-O187)</f>
        <v>634</v>
      </c>
      <c r="S187" s="5" t="s">
        <v>26</v>
      </c>
      <c r="U187" s="5" t="s">
        <v>29</v>
      </c>
      <c r="V187" s="4">
        <v>899</v>
      </c>
      <c r="W187" s="5" t="s">
        <v>148</v>
      </c>
      <c r="Z187" s="7" t="s">
        <v>648</v>
      </c>
    </row>
    <row r="188" spans="1:26" x14ac:dyDescent="0.25">
      <c r="A188" s="7" t="s">
        <v>703</v>
      </c>
      <c r="C188" s="5" t="s">
        <v>620</v>
      </c>
      <c r="D188" s="4" t="s">
        <v>14</v>
      </c>
      <c r="E188" s="5" t="s">
        <v>22</v>
      </c>
      <c r="F188" s="4" t="s">
        <v>643</v>
      </c>
      <c r="N188" s="4" t="s">
        <v>75</v>
      </c>
      <c r="O188" s="6">
        <v>44936</v>
      </c>
      <c r="Q188" s="9">
        <f ca="1">IF(P188="",TODAY()-O188,P188-O188)</f>
        <v>633</v>
      </c>
      <c r="S188" s="5" t="s">
        <v>26</v>
      </c>
      <c r="W188" s="5" t="s">
        <v>38</v>
      </c>
      <c r="Z188" s="7" t="s">
        <v>642</v>
      </c>
    </row>
    <row r="189" spans="1:26" x14ac:dyDescent="0.25">
      <c r="A189" s="7" t="s">
        <v>663</v>
      </c>
      <c r="C189" s="5" t="s">
        <v>12</v>
      </c>
      <c r="D189" s="4" t="s">
        <v>17</v>
      </c>
      <c r="E189" s="5" t="s">
        <v>23</v>
      </c>
      <c r="F189" s="4" t="s">
        <v>667</v>
      </c>
      <c r="N189" s="4" t="s">
        <v>73</v>
      </c>
      <c r="O189" s="6">
        <v>44944</v>
      </c>
      <c r="P189" s="11">
        <v>44956</v>
      </c>
      <c r="Q189" s="9">
        <f ca="1">IF(P189="",TODAY()-O189,P189-O189)</f>
        <v>12</v>
      </c>
      <c r="R189" s="4" t="s">
        <v>42</v>
      </c>
      <c r="S189" s="5" t="s">
        <v>27</v>
      </c>
      <c r="T189" s="4" t="s">
        <v>38</v>
      </c>
      <c r="U189" s="5" t="s">
        <v>30</v>
      </c>
      <c r="W189" s="5" t="s">
        <v>39</v>
      </c>
      <c r="Z189" s="7" t="s">
        <v>668</v>
      </c>
    </row>
    <row r="190" spans="1:26" x14ac:dyDescent="0.25">
      <c r="A190" s="7" t="s">
        <v>664</v>
      </c>
      <c r="C190" s="5" t="s">
        <v>12</v>
      </c>
      <c r="D190" s="4" t="s">
        <v>20</v>
      </c>
      <c r="E190" s="5" t="s">
        <v>22</v>
      </c>
      <c r="F190" s="4" t="s">
        <v>667</v>
      </c>
      <c r="N190" s="4" t="s">
        <v>73</v>
      </c>
      <c r="O190" s="6">
        <v>44944</v>
      </c>
      <c r="P190" s="11">
        <v>44957</v>
      </c>
      <c r="Q190" s="9">
        <f ca="1">IF(P190="",TODAY()-O190,P190-O190)</f>
        <v>13</v>
      </c>
      <c r="R190" s="4" t="s">
        <v>42</v>
      </c>
      <c r="S190" s="5" t="s">
        <v>27</v>
      </c>
      <c r="T190" s="4" t="s">
        <v>38</v>
      </c>
      <c r="U190" s="5" t="s">
        <v>30</v>
      </c>
      <c r="W190" s="5" t="s">
        <v>39</v>
      </c>
      <c r="Z190" s="7" t="s">
        <v>668</v>
      </c>
    </row>
    <row r="191" spans="1:26" x14ac:dyDescent="0.25">
      <c r="A191" s="7" t="s">
        <v>665</v>
      </c>
      <c r="C191" s="5" t="s">
        <v>12</v>
      </c>
      <c r="D191" s="4" t="s">
        <v>17</v>
      </c>
      <c r="E191" s="5" t="s">
        <v>22</v>
      </c>
      <c r="F191" s="4" t="s">
        <v>667</v>
      </c>
      <c r="G191" s="9" t="s">
        <v>51</v>
      </c>
      <c r="H191" s="32">
        <v>44952</v>
      </c>
      <c r="I191" s="33">
        <v>44993</v>
      </c>
      <c r="J191" s="4" t="s">
        <v>503</v>
      </c>
      <c r="N191" s="4" t="s">
        <v>73</v>
      </c>
      <c r="O191" s="6">
        <v>44944</v>
      </c>
      <c r="P191" s="11">
        <v>45007</v>
      </c>
      <c r="Q191" s="9">
        <f ca="1">IF(P191="",TODAY()-O191,P191-O191)</f>
        <v>63</v>
      </c>
      <c r="R191" s="4" t="s">
        <v>41</v>
      </c>
      <c r="S191" s="5" t="s">
        <v>27</v>
      </c>
      <c r="T191" s="4" t="s">
        <v>38</v>
      </c>
      <c r="U191" s="5" t="s">
        <v>30</v>
      </c>
      <c r="W191" s="5" t="s">
        <v>39</v>
      </c>
      <c r="Z191" s="7" t="s">
        <v>746</v>
      </c>
    </row>
    <row r="192" spans="1:26" x14ac:dyDescent="0.25">
      <c r="A192" s="7" t="s">
        <v>666</v>
      </c>
      <c r="C192" s="5" t="s">
        <v>12</v>
      </c>
      <c r="D192" s="4" t="s">
        <v>20</v>
      </c>
      <c r="E192" s="5" t="s">
        <v>22</v>
      </c>
      <c r="F192" s="4" t="s">
        <v>667</v>
      </c>
      <c r="G192" s="9" t="s">
        <v>51</v>
      </c>
      <c r="H192" s="32">
        <v>44952</v>
      </c>
      <c r="I192" s="33">
        <v>44993</v>
      </c>
      <c r="J192" s="4" t="s">
        <v>503</v>
      </c>
      <c r="N192" s="4" t="s">
        <v>73</v>
      </c>
      <c r="O192" s="6">
        <v>44944</v>
      </c>
      <c r="P192" s="11">
        <v>45031</v>
      </c>
      <c r="Q192" s="9">
        <f ca="1">IF(P192="",TODAY()-O192,P192-O192)</f>
        <v>87</v>
      </c>
      <c r="R192" s="4" t="s">
        <v>41</v>
      </c>
      <c r="S192" s="5" t="s">
        <v>27</v>
      </c>
      <c r="T192" s="4" t="s">
        <v>38</v>
      </c>
      <c r="U192" s="5" t="s">
        <v>30</v>
      </c>
      <c r="W192" s="5" t="s">
        <v>39</v>
      </c>
      <c r="Z192" s="7" t="s">
        <v>747</v>
      </c>
    </row>
    <row r="193" spans="1:26" x14ac:dyDescent="0.25">
      <c r="A193" s="7" t="s">
        <v>669</v>
      </c>
      <c r="C193" s="5" t="s">
        <v>12</v>
      </c>
      <c r="D193" s="4" t="s">
        <v>19</v>
      </c>
      <c r="E193" s="5" t="s">
        <v>24</v>
      </c>
      <c r="F193" s="4" t="s">
        <v>384</v>
      </c>
      <c r="N193" s="4" t="s">
        <v>75</v>
      </c>
      <c r="O193" s="6">
        <v>44944</v>
      </c>
      <c r="P193" s="11">
        <v>44954</v>
      </c>
      <c r="Q193" s="9">
        <f ca="1">IF(P193="",TODAY()-O193,P193-O193)</f>
        <v>10</v>
      </c>
      <c r="R193" s="4" t="s">
        <v>41</v>
      </c>
      <c r="S193" s="5" t="s">
        <v>27</v>
      </c>
      <c r="U193" s="5" t="s">
        <v>30</v>
      </c>
      <c r="W193" s="5" t="s">
        <v>39</v>
      </c>
    </row>
    <row r="194" spans="1:26" x14ac:dyDescent="0.25">
      <c r="A194" s="7" t="s">
        <v>881</v>
      </c>
      <c r="C194" s="5" t="s">
        <v>12</v>
      </c>
      <c r="D194" s="4" t="s">
        <v>16</v>
      </c>
      <c r="E194" s="5" t="s">
        <v>24</v>
      </c>
      <c r="F194" s="4" t="s">
        <v>494</v>
      </c>
      <c r="G194" s="9" t="s">
        <v>51</v>
      </c>
      <c r="H194" s="32">
        <v>44960</v>
      </c>
      <c r="I194" s="33">
        <v>45001</v>
      </c>
      <c r="J194" s="4" t="s">
        <v>503</v>
      </c>
      <c r="K194" s="6">
        <v>45048</v>
      </c>
      <c r="L194" s="56"/>
      <c r="M194" s="56"/>
      <c r="N194" s="4" t="s">
        <v>73</v>
      </c>
      <c r="O194" s="6">
        <v>44947</v>
      </c>
      <c r="P194" s="11">
        <v>45190</v>
      </c>
      <c r="Q194" s="9">
        <f ca="1">IF(P194="",TODAY()-O194,P194-O194)</f>
        <v>243</v>
      </c>
      <c r="R194" s="4" t="s">
        <v>41</v>
      </c>
      <c r="S194" s="5" t="s">
        <v>631</v>
      </c>
      <c r="T194" s="4" t="s">
        <v>618</v>
      </c>
      <c r="U194" s="5" t="s">
        <v>30</v>
      </c>
      <c r="W194" s="5" t="s">
        <v>38</v>
      </c>
      <c r="Z194" s="7" t="s">
        <v>882</v>
      </c>
    </row>
    <row r="195" spans="1:26" x14ac:dyDescent="0.25">
      <c r="A195" s="7" t="s">
        <v>701</v>
      </c>
      <c r="C195" s="5" t="s">
        <v>620</v>
      </c>
      <c r="D195" s="4" t="s">
        <v>311</v>
      </c>
      <c r="E195" s="5" t="s">
        <v>23</v>
      </c>
      <c r="F195" s="4" t="s">
        <v>384</v>
      </c>
      <c r="G195" s="9" t="s">
        <v>51</v>
      </c>
      <c r="H195" s="32">
        <v>44970</v>
      </c>
      <c r="I195" s="33">
        <v>45110</v>
      </c>
      <c r="J195" s="4" t="s">
        <v>503</v>
      </c>
      <c r="K195" s="5" t="s">
        <v>702</v>
      </c>
      <c r="N195" s="4" t="s">
        <v>75</v>
      </c>
      <c r="O195" s="6">
        <v>44954</v>
      </c>
      <c r="P195" s="11">
        <v>45038</v>
      </c>
      <c r="Q195" s="9">
        <f ca="1">IF(P195="",TODAY()-O195,P195-O195)</f>
        <v>84</v>
      </c>
      <c r="R195" s="4" t="s">
        <v>41</v>
      </c>
      <c r="S195" s="5" t="s">
        <v>26</v>
      </c>
      <c r="T195" s="4" t="s">
        <v>38</v>
      </c>
      <c r="U195" s="5" t="s">
        <v>30</v>
      </c>
      <c r="W195" s="5" t="s">
        <v>38</v>
      </c>
      <c r="Z195" s="7" t="s">
        <v>793</v>
      </c>
    </row>
    <row r="196" spans="1:26" x14ac:dyDescent="0.25">
      <c r="A196" s="7" t="s">
        <v>712</v>
      </c>
      <c r="C196" s="5" t="s">
        <v>12</v>
      </c>
      <c r="D196" s="4" t="s">
        <v>713</v>
      </c>
      <c r="E196" s="5" t="s">
        <v>22</v>
      </c>
      <c r="F196" s="4" t="s">
        <v>384</v>
      </c>
      <c r="N196" s="4" t="s">
        <v>73</v>
      </c>
      <c r="O196" s="6">
        <v>44954</v>
      </c>
      <c r="P196" s="11"/>
      <c r="Q196" s="9">
        <f ca="1">IF(P196="",TODAY()-O196,P196-O196)</f>
        <v>615</v>
      </c>
      <c r="S196" s="5" t="s">
        <v>26</v>
      </c>
      <c r="T196" s="4" t="s">
        <v>425</v>
      </c>
      <c r="W196" s="5" t="s">
        <v>425</v>
      </c>
    </row>
    <row r="197" spans="1:26" x14ac:dyDescent="0.25">
      <c r="A197" s="7" t="s">
        <v>674</v>
      </c>
      <c r="B197" s="7" t="s">
        <v>1071</v>
      </c>
      <c r="C197" s="5" t="s">
        <v>620</v>
      </c>
      <c r="D197" s="4" t="s">
        <v>17</v>
      </c>
      <c r="E197" s="5" t="s">
        <v>22</v>
      </c>
      <c r="F197" s="4" t="s">
        <v>675</v>
      </c>
      <c r="G197" s="9" t="s">
        <v>50</v>
      </c>
      <c r="H197" s="32">
        <v>44958</v>
      </c>
      <c r="J197" s="4" t="s">
        <v>102</v>
      </c>
      <c r="K197" s="6">
        <v>44971</v>
      </c>
      <c r="L197" s="56" t="s">
        <v>2016</v>
      </c>
      <c r="M197" s="56" t="s">
        <v>2017</v>
      </c>
      <c r="N197" s="4" t="s">
        <v>73</v>
      </c>
      <c r="O197" s="6">
        <v>44955</v>
      </c>
      <c r="P197" s="11">
        <v>45366</v>
      </c>
      <c r="Q197" s="9">
        <f ca="1">IF(P197="",TODAY()-O197,P197-O197)</f>
        <v>411</v>
      </c>
      <c r="R197" s="4" t="s">
        <v>42</v>
      </c>
      <c r="S197" s="5" t="s">
        <v>26</v>
      </c>
      <c r="T197" s="4" t="s">
        <v>677</v>
      </c>
      <c r="U197" s="5" t="s">
        <v>452</v>
      </c>
      <c r="W197" s="5" t="s">
        <v>39</v>
      </c>
      <c r="Z197" s="7" t="s">
        <v>2141</v>
      </c>
    </row>
    <row r="198" spans="1:26" x14ac:dyDescent="0.25">
      <c r="A198" s="7" t="s">
        <v>704</v>
      </c>
      <c r="C198" s="5" t="s">
        <v>620</v>
      </c>
      <c r="D198" s="4" t="s">
        <v>14</v>
      </c>
      <c r="E198" s="5" t="s">
        <v>23</v>
      </c>
      <c r="F198" s="4" t="s">
        <v>384</v>
      </c>
      <c r="K198" s="6">
        <v>44971</v>
      </c>
      <c r="L198" s="56"/>
      <c r="M198" s="56"/>
      <c r="N198" s="4" t="s">
        <v>73</v>
      </c>
      <c r="O198" s="6">
        <v>44965</v>
      </c>
      <c r="Q198" s="9">
        <f ca="1">IF(P198="",TODAY()-O198,P198-O198)</f>
        <v>604</v>
      </c>
      <c r="S198" s="5" t="s">
        <v>26</v>
      </c>
      <c r="T198" s="4" t="s">
        <v>38</v>
      </c>
      <c r="W198" s="5" t="s">
        <v>38</v>
      </c>
    </row>
    <row r="199" spans="1:26" x14ac:dyDescent="0.25">
      <c r="A199" s="7" t="s">
        <v>680</v>
      </c>
      <c r="C199" s="5" t="s">
        <v>12</v>
      </c>
      <c r="D199" s="4" t="s">
        <v>17</v>
      </c>
      <c r="E199" s="5" t="s">
        <v>22</v>
      </c>
      <c r="N199" s="4" t="s">
        <v>75</v>
      </c>
      <c r="O199" s="6">
        <v>44968</v>
      </c>
      <c r="Q199" s="9">
        <f ca="1">IF(P199="",TODAY()-O199,P199-O199)</f>
        <v>601</v>
      </c>
      <c r="S199" s="5" t="s">
        <v>631</v>
      </c>
      <c r="T199" s="4" t="s">
        <v>132</v>
      </c>
      <c r="W199" s="5" t="s">
        <v>38</v>
      </c>
    </row>
    <row r="200" spans="1:26" x14ac:dyDescent="0.25">
      <c r="A200" s="7" t="s">
        <v>700</v>
      </c>
      <c r="C200" s="5" t="s">
        <v>12</v>
      </c>
      <c r="D200" s="4" t="s">
        <v>16</v>
      </c>
      <c r="E200" s="5" t="s">
        <v>22</v>
      </c>
      <c r="F200" s="4" t="s">
        <v>384</v>
      </c>
      <c r="G200" s="9" t="s">
        <v>51</v>
      </c>
      <c r="H200" s="32">
        <v>45012</v>
      </c>
      <c r="I200" s="33">
        <v>45037</v>
      </c>
      <c r="J200" s="4" t="s">
        <v>102</v>
      </c>
      <c r="K200" s="6">
        <v>44967</v>
      </c>
      <c r="L200" s="56"/>
      <c r="M200" s="56"/>
      <c r="N200" s="4" t="s">
        <v>73</v>
      </c>
      <c r="O200" s="6">
        <v>44968</v>
      </c>
      <c r="Q200" s="9">
        <f ca="1">IF(P200="",TODAY()-O200,P200-O200)</f>
        <v>601</v>
      </c>
      <c r="R200" s="4" t="s">
        <v>41</v>
      </c>
      <c r="S200" s="5" t="s">
        <v>26</v>
      </c>
      <c r="U200" s="5" t="s">
        <v>29</v>
      </c>
      <c r="V200" s="4">
        <v>916</v>
      </c>
      <c r="W200" s="5" t="s">
        <v>39</v>
      </c>
      <c r="X200" s="38" t="s">
        <v>907</v>
      </c>
      <c r="Z200" s="7" t="s">
        <v>821</v>
      </c>
    </row>
    <row r="201" spans="1:26" ht="30" x14ac:dyDescent="0.25">
      <c r="A201" s="28" t="s">
        <v>691</v>
      </c>
      <c r="B201" s="28"/>
      <c r="C201" s="14" t="s">
        <v>12</v>
      </c>
      <c r="D201" s="13" t="s">
        <v>16</v>
      </c>
      <c r="E201" s="14" t="s">
        <v>23</v>
      </c>
      <c r="F201" s="13" t="s">
        <v>384</v>
      </c>
      <c r="G201" s="15"/>
      <c r="H201" s="31"/>
      <c r="I201" s="15"/>
      <c r="J201" s="13"/>
      <c r="K201" s="14"/>
      <c r="L201" s="28"/>
      <c r="M201" s="28"/>
      <c r="N201" s="13"/>
      <c r="O201" s="16">
        <v>44970</v>
      </c>
      <c r="P201" s="36">
        <v>44970</v>
      </c>
      <c r="Q201" s="9">
        <f ca="1">IF(P201="",TODAY()-O201,P201-O201)</f>
        <v>0</v>
      </c>
      <c r="R201" s="13" t="s">
        <v>42</v>
      </c>
      <c r="S201" s="14" t="s">
        <v>26</v>
      </c>
      <c r="T201" s="13"/>
      <c r="U201" s="14" t="s">
        <v>30</v>
      </c>
      <c r="V201" s="13"/>
      <c r="W201" s="14" t="s">
        <v>38</v>
      </c>
      <c r="X201" s="39"/>
      <c r="Y201" s="43"/>
      <c r="Z201" s="17" t="s">
        <v>692</v>
      </c>
    </row>
    <row r="202" spans="1:26" x14ac:dyDescent="0.25">
      <c r="A202" s="7" t="s">
        <v>697</v>
      </c>
      <c r="C202" s="5" t="s">
        <v>12</v>
      </c>
      <c r="D202" s="4" t="s">
        <v>16</v>
      </c>
      <c r="E202" s="5" t="s">
        <v>24</v>
      </c>
      <c r="F202" s="4" t="s">
        <v>698</v>
      </c>
      <c r="K202" s="6">
        <v>44971</v>
      </c>
      <c r="L202" s="56"/>
      <c r="M202" s="56"/>
      <c r="N202" s="4" t="s">
        <v>75</v>
      </c>
      <c r="O202" s="6">
        <v>44974</v>
      </c>
      <c r="P202" s="11">
        <v>44975</v>
      </c>
      <c r="Q202" s="9">
        <f ca="1">IF(P202="",TODAY()-O202,P202-O202)</f>
        <v>1</v>
      </c>
      <c r="R202" s="4" t="s">
        <v>431</v>
      </c>
      <c r="S202" s="5" t="s">
        <v>26</v>
      </c>
      <c r="U202" s="5" t="s">
        <v>30</v>
      </c>
      <c r="W202" s="5" t="s">
        <v>38</v>
      </c>
      <c r="Z202" s="7" t="s">
        <v>699</v>
      </c>
    </row>
    <row r="203" spans="1:26" x14ac:dyDescent="0.25">
      <c r="A203" s="7" t="s">
        <v>546</v>
      </c>
      <c r="C203" s="5" t="s">
        <v>12</v>
      </c>
      <c r="D203" s="4" t="s">
        <v>16</v>
      </c>
      <c r="E203" s="5" t="s">
        <v>23</v>
      </c>
      <c r="F203" s="4" t="s">
        <v>553</v>
      </c>
      <c r="G203" s="9" t="s">
        <v>51</v>
      </c>
      <c r="H203" s="32">
        <v>45022</v>
      </c>
      <c r="I203" s="33">
        <v>45043</v>
      </c>
      <c r="J203" s="4" t="s">
        <v>101</v>
      </c>
      <c r="K203" s="6">
        <v>45043</v>
      </c>
      <c r="L203" s="56"/>
      <c r="M203" s="56"/>
      <c r="N203" s="4" t="s">
        <v>73</v>
      </c>
      <c r="O203" s="6">
        <v>44975</v>
      </c>
      <c r="P203" s="11">
        <v>45092</v>
      </c>
      <c r="Q203" s="9">
        <f ca="1">IF(P203="",TODAY()-O203,P203-O203)</f>
        <v>117</v>
      </c>
      <c r="R203" s="4" t="s">
        <v>41</v>
      </c>
      <c r="S203" s="5" t="s">
        <v>27</v>
      </c>
      <c r="T203" s="4" t="s">
        <v>1019</v>
      </c>
      <c r="U203" s="5" t="s">
        <v>29</v>
      </c>
      <c r="V203" s="4">
        <v>924</v>
      </c>
      <c r="W203" s="5" t="s">
        <v>39</v>
      </c>
    </row>
    <row r="204" spans="1:26" x14ac:dyDescent="0.25">
      <c r="A204" s="7" t="s">
        <v>705</v>
      </c>
      <c r="C204" s="5" t="s">
        <v>12</v>
      </c>
      <c r="D204" s="4" t="s">
        <v>127</v>
      </c>
      <c r="E204" s="5" t="s">
        <v>23</v>
      </c>
      <c r="F204" s="4" t="s">
        <v>553</v>
      </c>
      <c r="G204" s="9" t="s">
        <v>50</v>
      </c>
      <c r="H204" s="32">
        <v>44977</v>
      </c>
      <c r="K204" s="6"/>
      <c r="L204" s="56"/>
      <c r="M204" s="56"/>
      <c r="N204" s="4" t="s">
        <v>73</v>
      </c>
      <c r="O204" s="6">
        <v>44977</v>
      </c>
      <c r="Q204" s="9">
        <f ca="1">IF(P204="",TODAY()-O204,P204-O204)</f>
        <v>592</v>
      </c>
      <c r="S204" s="5" t="s">
        <v>26</v>
      </c>
      <c r="T204" s="4" t="s">
        <v>711</v>
      </c>
      <c r="U204" s="5" t="s">
        <v>29</v>
      </c>
      <c r="V204" s="4">
        <v>914</v>
      </c>
      <c r="W204" s="5" t="s">
        <v>148</v>
      </c>
    </row>
    <row r="205" spans="1:26" x14ac:dyDescent="0.25">
      <c r="A205" s="7" t="s">
        <v>786</v>
      </c>
      <c r="C205" s="5" t="s">
        <v>620</v>
      </c>
      <c r="D205" s="4" t="s">
        <v>17</v>
      </c>
      <c r="E205" s="5" t="s">
        <v>23</v>
      </c>
      <c r="F205" s="4" t="s">
        <v>384</v>
      </c>
      <c r="N205" s="4" t="s">
        <v>73</v>
      </c>
      <c r="O205" s="6">
        <v>44980</v>
      </c>
      <c r="P205" s="11">
        <v>44987</v>
      </c>
      <c r="Q205" s="9">
        <f ca="1">IF(P205="",TODAY()-O205,P205-O205)</f>
        <v>7</v>
      </c>
      <c r="R205" s="4" t="s">
        <v>42</v>
      </c>
      <c r="S205" s="5" t="s">
        <v>26</v>
      </c>
      <c r="T205" s="4" t="s">
        <v>690</v>
      </c>
      <c r="U205" s="5" t="s">
        <v>30</v>
      </c>
      <c r="W205" s="5" t="s">
        <v>38</v>
      </c>
      <c r="Z205" s="7" t="s">
        <v>738</v>
      </c>
    </row>
    <row r="206" spans="1:26" x14ac:dyDescent="0.25">
      <c r="A206" s="7" t="s">
        <v>1867</v>
      </c>
      <c r="B206" s="7" t="s">
        <v>1071</v>
      </c>
      <c r="C206" s="5" t="s">
        <v>620</v>
      </c>
      <c r="D206" s="4" t="s">
        <v>20</v>
      </c>
      <c r="E206" s="5" t="s">
        <v>25</v>
      </c>
      <c r="F206" s="4" t="s">
        <v>799</v>
      </c>
      <c r="G206" s="9" t="s">
        <v>51</v>
      </c>
      <c r="H206" s="32">
        <v>45034</v>
      </c>
      <c r="I206" s="33">
        <v>45063</v>
      </c>
      <c r="J206" s="4" t="s">
        <v>503</v>
      </c>
      <c r="K206" s="6">
        <v>45114</v>
      </c>
      <c r="L206" s="56"/>
      <c r="M206" s="56"/>
      <c r="N206" s="4" t="s">
        <v>73</v>
      </c>
      <c r="O206" s="6">
        <v>44980</v>
      </c>
      <c r="P206" s="11">
        <v>45257</v>
      </c>
      <c r="Q206" s="9">
        <f ca="1">IF(P206="",TODAY()-O206,P206-O206)</f>
        <v>277</v>
      </c>
      <c r="R206" s="4" t="s">
        <v>41</v>
      </c>
      <c r="S206" s="5" t="s">
        <v>26</v>
      </c>
      <c r="T206" s="4" t="s">
        <v>38</v>
      </c>
      <c r="U206" s="5" t="s">
        <v>30</v>
      </c>
      <c r="W206" s="5" t="s">
        <v>38</v>
      </c>
      <c r="X206" s="38" t="s">
        <v>1865</v>
      </c>
      <c r="Y206" s="44">
        <v>45114</v>
      </c>
      <c r="Z206" s="7" t="s">
        <v>1866</v>
      </c>
    </row>
    <row r="207" spans="1:26" s="13" customFormat="1" x14ac:dyDescent="0.25">
      <c r="A207" s="7" t="s">
        <v>1820</v>
      </c>
      <c r="B207" s="7"/>
      <c r="C207" s="5" t="s">
        <v>12</v>
      </c>
      <c r="D207" s="4"/>
      <c r="E207" s="5" t="s">
        <v>24</v>
      </c>
      <c r="F207" s="4" t="s">
        <v>799</v>
      </c>
      <c r="G207" s="9" t="s">
        <v>51</v>
      </c>
      <c r="H207" s="30"/>
      <c r="I207" s="9"/>
      <c r="J207" s="4"/>
      <c r="K207" s="6">
        <v>45114</v>
      </c>
      <c r="L207" s="56"/>
      <c r="M207" s="56"/>
      <c r="N207" s="4" t="s">
        <v>73</v>
      </c>
      <c r="O207" s="6">
        <v>44980</v>
      </c>
      <c r="P207" s="4"/>
      <c r="Q207" s="9">
        <f ca="1">IF(P207="",TODAY()-O207,P207-O207)</f>
        <v>589</v>
      </c>
      <c r="R207" s="4"/>
      <c r="S207" s="5" t="s">
        <v>26</v>
      </c>
      <c r="T207" s="4" t="s">
        <v>38</v>
      </c>
      <c r="U207" s="5" t="s">
        <v>30</v>
      </c>
      <c r="V207" s="4"/>
      <c r="W207" s="5" t="s">
        <v>38</v>
      </c>
      <c r="X207" s="38"/>
      <c r="Y207" s="42"/>
      <c r="Z207" s="7" t="s">
        <v>1279</v>
      </c>
    </row>
    <row r="208" spans="1:26" x14ac:dyDescent="0.25">
      <c r="A208" s="7" t="s">
        <v>1819</v>
      </c>
      <c r="C208" s="5" t="s">
        <v>12</v>
      </c>
      <c r="E208" s="5" t="s">
        <v>24</v>
      </c>
      <c r="F208" s="4" t="s">
        <v>799</v>
      </c>
      <c r="G208" s="9" t="s">
        <v>51</v>
      </c>
      <c r="K208" s="6">
        <v>45113</v>
      </c>
      <c r="L208" s="56"/>
      <c r="M208" s="56"/>
      <c r="N208" s="4" t="s">
        <v>73</v>
      </c>
      <c r="O208" s="6">
        <v>44980</v>
      </c>
      <c r="Q208" s="9">
        <f ca="1">IF(P208="",TODAY()-O208,P208-O208)</f>
        <v>589</v>
      </c>
      <c r="S208" s="5" t="s">
        <v>26</v>
      </c>
      <c r="T208" s="4" t="s">
        <v>38</v>
      </c>
      <c r="U208" s="5" t="s">
        <v>30</v>
      </c>
      <c r="W208" s="5" t="s">
        <v>38</v>
      </c>
      <c r="Z208" s="7" t="s">
        <v>1279</v>
      </c>
    </row>
    <row r="209" spans="1:26" x14ac:dyDescent="0.25">
      <c r="A209" s="7" t="s">
        <v>2029</v>
      </c>
      <c r="B209" s="7" t="s">
        <v>1071</v>
      </c>
      <c r="C209" s="5" t="s">
        <v>12</v>
      </c>
      <c r="D209" s="4" t="s">
        <v>17</v>
      </c>
      <c r="E209" s="5" t="s">
        <v>24</v>
      </c>
      <c r="F209" s="4" t="s">
        <v>2031</v>
      </c>
      <c r="G209" s="9" t="s">
        <v>51</v>
      </c>
      <c r="H209" s="32">
        <v>45034</v>
      </c>
      <c r="I209" s="33">
        <v>45063</v>
      </c>
      <c r="K209" s="6">
        <v>45114</v>
      </c>
      <c r="N209" s="4" t="s">
        <v>73</v>
      </c>
      <c r="O209" s="6">
        <v>44980</v>
      </c>
      <c r="P209" s="11">
        <v>45150</v>
      </c>
      <c r="Q209" s="9">
        <f ca="1">IF(P209="",TODAY()-O209,P209-O209)</f>
        <v>170</v>
      </c>
      <c r="R209" s="4" t="s">
        <v>41</v>
      </c>
      <c r="S209" s="5" t="s">
        <v>26</v>
      </c>
      <c r="T209" s="4" t="s">
        <v>690</v>
      </c>
      <c r="U209" s="5" t="s">
        <v>30</v>
      </c>
      <c r="W209" s="5" t="s">
        <v>38</v>
      </c>
      <c r="X209" s="38" t="s">
        <v>2032</v>
      </c>
      <c r="Y209" s="44">
        <v>45114</v>
      </c>
      <c r="Z209" s="7" t="s">
        <v>2034</v>
      </c>
    </row>
    <row r="210" spans="1:26" x14ac:dyDescent="0.25">
      <c r="A210" s="7" t="s">
        <v>2030</v>
      </c>
      <c r="B210" s="7" t="s">
        <v>1071</v>
      </c>
      <c r="C210" s="5" t="s">
        <v>620</v>
      </c>
      <c r="D210" s="4" t="s">
        <v>17</v>
      </c>
      <c r="E210" s="5" t="s">
        <v>24</v>
      </c>
      <c r="F210" s="4" t="s">
        <v>2031</v>
      </c>
      <c r="G210" s="9" t="s">
        <v>51</v>
      </c>
      <c r="H210" s="32">
        <v>45034</v>
      </c>
      <c r="I210" s="33">
        <v>45063</v>
      </c>
      <c r="K210" s="6">
        <v>45114</v>
      </c>
      <c r="N210" s="4" t="s">
        <v>73</v>
      </c>
      <c r="O210" s="6">
        <v>44980</v>
      </c>
      <c r="P210" s="11">
        <v>45150</v>
      </c>
      <c r="Q210" s="9">
        <f ca="1">IF(P210="",TODAY()-O210,P210-O210)</f>
        <v>170</v>
      </c>
      <c r="R210" s="4" t="s">
        <v>41</v>
      </c>
      <c r="S210" s="5" t="s">
        <v>26</v>
      </c>
      <c r="T210" s="4" t="s">
        <v>690</v>
      </c>
      <c r="U210" s="5" t="s">
        <v>30</v>
      </c>
      <c r="W210" s="5" t="s">
        <v>38</v>
      </c>
      <c r="X210" s="38" t="s">
        <v>2033</v>
      </c>
      <c r="Y210" s="44">
        <v>45114</v>
      </c>
      <c r="Z210" s="7" t="s">
        <v>2034</v>
      </c>
    </row>
    <row r="211" spans="1:26" x14ac:dyDescent="0.25">
      <c r="A211" s="7" t="s">
        <v>790</v>
      </c>
      <c r="B211" s="7" t="s">
        <v>1071</v>
      </c>
      <c r="C211" s="5" t="s">
        <v>12</v>
      </c>
      <c r="D211" s="4" t="s">
        <v>311</v>
      </c>
      <c r="E211" s="5" t="s">
        <v>23</v>
      </c>
      <c r="F211" s="4" t="s">
        <v>591</v>
      </c>
      <c r="G211" s="9" t="s">
        <v>51</v>
      </c>
      <c r="H211" s="32">
        <v>45015</v>
      </c>
      <c r="I211" s="33">
        <v>45036</v>
      </c>
      <c r="J211" s="4" t="s">
        <v>503</v>
      </c>
      <c r="N211" s="4" t="s">
        <v>73</v>
      </c>
      <c r="O211" s="6">
        <v>44982</v>
      </c>
      <c r="P211" s="11"/>
      <c r="Q211" s="9">
        <f ca="1">IF(P211="",TODAY()-O211,P211-O211)</f>
        <v>587</v>
      </c>
      <c r="S211" s="5" t="s">
        <v>26</v>
      </c>
      <c r="T211" s="4" t="s">
        <v>378</v>
      </c>
      <c r="U211" s="5" t="s">
        <v>30</v>
      </c>
      <c r="W211" s="5" t="s">
        <v>39</v>
      </c>
      <c r="Y211" s="44">
        <v>45273</v>
      </c>
      <c r="Z211" s="7" t="s">
        <v>791</v>
      </c>
    </row>
    <row r="212" spans="1:26" ht="14.25" customHeight="1" x14ac:dyDescent="0.25">
      <c r="A212" s="7" t="s">
        <v>737</v>
      </c>
      <c r="C212" s="5" t="s">
        <v>12</v>
      </c>
      <c r="D212" s="4" t="s">
        <v>14</v>
      </c>
      <c r="E212" s="5" t="s">
        <v>22</v>
      </c>
      <c r="F212" s="4" t="s">
        <v>384</v>
      </c>
      <c r="H212" s="32"/>
      <c r="K212" s="6"/>
      <c r="L212" s="56"/>
      <c r="M212" s="56"/>
      <c r="O212" s="6">
        <v>44985</v>
      </c>
      <c r="P212" s="11">
        <v>44985</v>
      </c>
      <c r="Q212" s="9">
        <f ca="1">IF(P212="",TODAY()-O212,P212-O212)</f>
        <v>0</v>
      </c>
      <c r="R212" s="4" t="s">
        <v>42</v>
      </c>
      <c r="S212" s="5" t="s">
        <v>26</v>
      </c>
      <c r="U212" s="5" t="s">
        <v>30</v>
      </c>
      <c r="W212" s="5" t="s">
        <v>148</v>
      </c>
    </row>
    <row r="213" spans="1:26" x14ac:dyDescent="0.25">
      <c r="A213" s="7" t="s">
        <v>721</v>
      </c>
      <c r="C213" s="5" t="s">
        <v>12</v>
      </c>
      <c r="D213" s="4" t="s">
        <v>16</v>
      </c>
      <c r="E213" s="5" t="s">
        <v>22</v>
      </c>
      <c r="F213" s="4" t="s">
        <v>384</v>
      </c>
      <c r="O213" s="6">
        <v>44987</v>
      </c>
      <c r="P213" s="11">
        <v>44988</v>
      </c>
      <c r="Q213" s="9">
        <f ca="1">IF(P213="",TODAY()-O213,P213-O213)</f>
        <v>1</v>
      </c>
      <c r="R213" s="4" t="s">
        <v>42</v>
      </c>
      <c r="S213" s="5" t="s">
        <v>26</v>
      </c>
      <c r="U213" s="5" t="s">
        <v>29</v>
      </c>
      <c r="V213" s="4">
        <v>918</v>
      </c>
      <c r="W213" s="5" t="s">
        <v>38</v>
      </c>
      <c r="Z213" s="7" t="s">
        <v>720</v>
      </c>
    </row>
    <row r="214" spans="1:26" x14ac:dyDescent="0.25">
      <c r="A214" s="7" t="s">
        <v>1044</v>
      </c>
      <c r="C214" s="5" t="s">
        <v>12</v>
      </c>
      <c r="D214" s="4" t="s">
        <v>17</v>
      </c>
      <c r="E214" s="5" t="s">
        <v>22</v>
      </c>
      <c r="G214" s="9" t="s">
        <v>51</v>
      </c>
      <c r="H214" s="32">
        <v>45034</v>
      </c>
      <c r="I214" s="33">
        <v>45063</v>
      </c>
      <c r="N214" s="4" t="s">
        <v>73</v>
      </c>
      <c r="O214" s="6">
        <v>44988</v>
      </c>
      <c r="P214" s="11">
        <v>45065</v>
      </c>
      <c r="Q214" s="9">
        <f ca="1">IF(P214="",TODAY()-O214,P214-O214)</f>
        <v>77</v>
      </c>
      <c r="R214" s="4" t="s">
        <v>41</v>
      </c>
      <c r="S214" s="5" t="s">
        <v>26</v>
      </c>
      <c r="T214" s="4" t="s">
        <v>690</v>
      </c>
      <c r="U214" s="5" t="s">
        <v>30</v>
      </c>
      <c r="W214" s="5" t="s">
        <v>38</v>
      </c>
    </row>
    <row r="215" spans="1:26" x14ac:dyDescent="0.25">
      <c r="A215" s="7" t="s">
        <v>766</v>
      </c>
      <c r="N215" s="4" t="s">
        <v>73</v>
      </c>
      <c r="O215" s="6">
        <v>44988</v>
      </c>
      <c r="P215" s="11">
        <v>45019</v>
      </c>
      <c r="Q215" s="9">
        <f ca="1">IF(P215="",TODAY()-O215,P215-O215)</f>
        <v>31</v>
      </c>
      <c r="R215" s="4" t="s">
        <v>42</v>
      </c>
      <c r="S215" s="5" t="s">
        <v>26</v>
      </c>
      <c r="T215" s="4" t="s">
        <v>690</v>
      </c>
      <c r="U215" s="5" t="s">
        <v>30</v>
      </c>
      <c r="W215" s="5" t="s">
        <v>38</v>
      </c>
      <c r="Z215" s="7" t="s">
        <v>767</v>
      </c>
    </row>
    <row r="216" spans="1:26" x14ac:dyDescent="0.25">
      <c r="A216" s="7" t="s">
        <v>722</v>
      </c>
      <c r="C216" s="5" t="s">
        <v>12</v>
      </c>
      <c r="D216" s="4" t="s">
        <v>16</v>
      </c>
      <c r="E216" s="5" t="s">
        <v>23</v>
      </c>
      <c r="F216" s="4" t="s">
        <v>384</v>
      </c>
      <c r="O216" s="6">
        <v>44988</v>
      </c>
      <c r="P216" s="11">
        <v>44988</v>
      </c>
      <c r="Q216" s="9">
        <f ca="1">IF(P216="",TODAY()-O216,P216-O216)</f>
        <v>0</v>
      </c>
      <c r="R216" s="4" t="s">
        <v>42</v>
      </c>
      <c r="S216" s="5" t="s">
        <v>26</v>
      </c>
      <c r="U216" s="5" t="s">
        <v>33</v>
      </c>
      <c r="W216" s="5" t="s">
        <v>39</v>
      </c>
      <c r="Z216" s="7" t="s">
        <v>719</v>
      </c>
    </row>
    <row r="217" spans="1:26" x14ac:dyDescent="0.25">
      <c r="A217" s="7" t="s">
        <v>724</v>
      </c>
      <c r="C217" s="5" t="s">
        <v>12</v>
      </c>
      <c r="D217" s="4" t="s">
        <v>17</v>
      </c>
      <c r="F217" s="4" t="s">
        <v>384</v>
      </c>
      <c r="O217" s="6">
        <v>44991</v>
      </c>
      <c r="P217" s="11">
        <v>44991</v>
      </c>
      <c r="Q217" s="9">
        <f ca="1">IF(P217="",TODAY()-O217,P217-O217)</f>
        <v>0</v>
      </c>
      <c r="R217" s="4" t="s">
        <v>42</v>
      </c>
      <c r="S217" s="5" t="s">
        <v>26</v>
      </c>
      <c r="U217" s="5" t="s">
        <v>30</v>
      </c>
      <c r="W217" s="5" t="s">
        <v>38</v>
      </c>
      <c r="Z217" s="7" t="s">
        <v>723</v>
      </c>
    </row>
    <row r="218" spans="1:26" x14ac:dyDescent="0.25">
      <c r="A218" s="7" t="s">
        <v>726</v>
      </c>
      <c r="C218" s="5" t="s">
        <v>12</v>
      </c>
      <c r="F218" s="4" t="s">
        <v>591</v>
      </c>
      <c r="O218" s="6">
        <v>44991</v>
      </c>
      <c r="Q218" s="9">
        <f ca="1">IF(P218="",TODAY()-O218,P218-O218)</f>
        <v>578</v>
      </c>
      <c r="S218" s="5" t="s">
        <v>26</v>
      </c>
      <c r="W218" s="5" t="s">
        <v>38</v>
      </c>
    </row>
    <row r="219" spans="1:26" x14ac:dyDescent="0.25">
      <c r="A219" s="7" t="s">
        <v>725</v>
      </c>
      <c r="C219" s="5" t="s">
        <v>12</v>
      </c>
      <c r="F219" s="4" t="s">
        <v>591</v>
      </c>
      <c r="O219" s="6">
        <v>44991</v>
      </c>
      <c r="Q219" s="9">
        <f ca="1">IF(P219="",TODAY()-O219,P219-O219)</f>
        <v>578</v>
      </c>
      <c r="S219" s="5" t="s">
        <v>26</v>
      </c>
      <c r="W219" s="5" t="s">
        <v>38</v>
      </c>
    </row>
    <row r="220" spans="1:26" x14ac:dyDescent="0.25">
      <c r="A220" s="7" t="s">
        <v>727</v>
      </c>
      <c r="C220" s="5" t="s">
        <v>12</v>
      </c>
      <c r="D220" s="4" t="s">
        <v>16</v>
      </c>
      <c r="E220" s="5" t="s">
        <v>22</v>
      </c>
      <c r="F220" s="4" t="s">
        <v>728</v>
      </c>
      <c r="O220" s="6">
        <v>44992</v>
      </c>
      <c r="P220" s="11">
        <v>44992</v>
      </c>
      <c r="Q220" s="9">
        <f ca="1">IF(P220="",TODAY()-O220,P220-O220)</f>
        <v>0</v>
      </c>
      <c r="R220" s="4" t="s">
        <v>42</v>
      </c>
      <c r="S220" s="5" t="s">
        <v>26</v>
      </c>
      <c r="U220" s="5" t="s">
        <v>29</v>
      </c>
      <c r="W220" s="5" t="s">
        <v>148</v>
      </c>
      <c r="Z220" s="7" t="s">
        <v>729</v>
      </c>
    </row>
    <row r="221" spans="1:26" x14ac:dyDescent="0.25">
      <c r="A221" s="7" t="s">
        <v>794</v>
      </c>
      <c r="C221" s="5" t="s">
        <v>12</v>
      </c>
      <c r="D221" s="4" t="s">
        <v>16</v>
      </c>
      <c r="E221" s="5" t="s">
        <v>24</v>
      </c>
      <c r="F221" s="4" t="s">
        <v>384</v>
      </c>
      <c r="G221" s="9" t="s">
        <v>51</v>
      </c>
      <c r="H221" s="32">
        <v>45014</v>
      </c>
      <c r="I221" s="33">
        <v>45037</v>
      </c>
      <c r="J221" s="4" t="s">
        <v>503</v>
      </c>
      <c r="K221" s="6">
        <v>44993</v>
      </c>
      <c r="L221" s="56"/>
      <c r="M221" s="56"/>
      <c r="N221" s="4" t="s">
        <v>73</v>
      </c>
      <c r="O221" s="6">
        <v>44993</v>
      </c>
      <c r="P221" s="11">
        <v>45037</v>
      </c>
      <c r="Q221" s="9">
        <f ca="1">IF(P221="",TODAY()-O221,P221-O221)</f>
        <v>44</v>
      </c>
      <c r="R221" s="4" t="s">
        <v>41</v>
      </c>
      <c r="S221" s="5" t="s">
        <v>26</v>
      </c>
      <c r="T221" s="4" t="s">
        <v>690</v>
      </c>
      <c r="U221" s="5" t="s">
        <v>30</v>
      </c>
      <c r="W221" s="5" t="s">
        <v>38</v>
      </c>
      <c r="Z221" s="7" t="s">
        <v>792</v>
      </c>
    </row>
    <row r="222" spans="1:26" x14ac:dyDescent="0.25">
      <c r="A222" s="7" t="s">
        <v>730</v>
      </c>
      <c r="C222" s="5" t="s">
        <v>12</v>
      </c>
      <c r="D222" s="4" t="s">
        <v>19</v>
      </c>
      <c r="E222" s="5" t="s">
        <v>22</v>
      </c>
      <c r="F222" s="4" t="s">
        <v>384</v>
      </c>
      <c r="O222" s="6">
        <v>44993</v>
      </c>
      <c r="P222" s="11">
        <v>44994</v>
      </c>
      <c r="Q222" s="9">
        <f ca="1">IF(P222="",TODAY()-O222,P222-O222)</f>
        <v>1</v>
      </c>
      <c r="R222" s="4" t="s">
        <v>42</v>
      </c>
      <c r="S222" s="5" t="s">
        <v>26</v>
      </c>
      <c r="U222" s="5" t="s">
        <v>30</v>
      </c>
      <c r="W222" s="5" t="s">
        <v>38</v>
      </c>
      <c r="Z222" s="7" t="s">
        <v>731</v>
      </c>
    </row>
    <row r="223" spans="1:26" x14ac:dyDescent="0.25">
      <c r="A223" s="7" t="s">
        <v>732</v>
      </c>
      <c r="C223" s="5" t="s">
        <v>12</v>
      </c>
      <c r="D223" s="4" t="s">
        <v>14</v>
      </c>
      <c r="E223" s="5" t="s">
        <v>22</v>
      </c>
      <c r="F223" s="4" t="s">
        <v>384</v>
      </c>
      <c r="G223" s="9" t="s">
        <v>50</v>
      </c>
      <c r="H223" s="32">
        <v>44994</v>
      </c>
      <c r="I223" s="33">
        <v>45016</v>
      </c>
      <c r="J223" s="4" t="s">
        <v>101</v>
      </c>
      <c r="K223" s="6">
        <v>44994</v>
      </c>
      <c r="L223" s="56"/>
      <c r="M223" s="56"/>
      <c r="N223" s="4" t="s">
        <v>73</v>
      </c>
      <c r="O223" s="6">
        <v>44993</v>
      </c>
      <c r="Q223" s="9">
        <f ca="1">IF(P223="",TODAY()-O223,P223-O223)</f>
        <v>576</v>
      </c>
      <c r="S223" s="5" t="s">
        <v>26</v>
      </c>
      <c r="T223" s="4" t="s">
        <v>736</v>
      </c>
      <c r="U223" s="5" t="s">
        <v>29</v>
      </c>
      <c r="V223" s="4">
        <v>921</v>
      </c>
      <c r="W223" s="5" t="s">
        <v>148</v>
      </c>
      <c r="Z223" s="7" t="s">
        <v>733</v>
      </c>
    </row>
    <row r="224" spans="1:26" x14ac:dyDescent="0.25">
      <c r="A224" s="7" t="s">
        <v>739</v>
      </c>
      <c r="B224" s="7" t="s">
        <v>1071</v>
      </c>
      <c r="C224" s="5" t="s">
        <v>12</v>
      </c>
      <c r="D224" s="4" t="s">
        <v>16</v>
      </c>
      <c r="E224" s="5" t="s">
        <v>24</v>
      </c>
      <c r="F224" s="4" t="s">
        <v>1235</v>
      </c>
      <c r="G224" s="9" t="s">
        <v>51</v>
      </c>
      <c r="H224" s="32">
        <v>45041</v>
      </c>
      <c r="I224" s="33">
        <v>45078</v>
      </c>
      <c r="J224" s="4" t="s">
        <v>503</v>
      </c>
      <c r="K224" s="6">
        <v>45110</v>
      </c>
      <c r="L224" s="56"/>
      <c r="M224" s="56"/>
      <c r="N224" s="4" t="s">
        <v>73</v>
      </c>
      <c r="O224" s="6">
        <v>45003</v>
      </c>
      <c r="P224" s="11">
        <v>45212</v>
      </c>
      <c r="Q224" s="9">
        <f ca="1">IF(P224="",TODAY()-O224,P224-O224)</f>
        <v>209</v>
      </c>
      <c r="R224" s="4" t="s">
        <v>41</v>
      </c>
      <c r="S224" s="5" t="s">
        <v>26</v>
      </c>
      <c r="T224" s="4" t="s">
        <v>38</v>
      </c>
      <c r="U224" s="5" t="s">
        <v>30</v>
      </c>
      <c r="W224" s="5" t="s">
        <v>38</v>
      </c>
      <c r="X224" s="38" t="s">
        <v>1727</v>
      </c>
      <c r="Y224" s="44">
        <v>45078</v>
      </c>
      <c r="Z224" s="7" t="s">
        <v>1728</v>
      </c>
    </row>
    <row r="225" spans="1:26" x14ac:dyDescent="0.25">
      <c r="A225" s="7" t="s">
        <v>1154</v>
      </c>
      <c r="C225" s="5" t="s">
        <v>12</v>
      </c>
      <c r="D225" s="4" t="s">
        <v>311</v>
      </c>
      <c r="E225" s="5" t="s">
        <v>25</v>
      </c>
      <c r="F225" s="4" t="s">
        <v>588</v>
      </c>
      <c r="G225" s="9" t="s">
        <v>51</v>
      </c>
      <c r="H225" s="32">
        <v>45033</v>
      </c>
      <c r="I225" s="33">
        <v>45055</v>
      </c>
      <c r="J225" s="4" t="s">
        <v>101</v>
      </c>
      <c r="K225" s="6">
        <v>45009</v>
      </c>
      <c r="L225" s="56"/>
      <c r="M225" s="56"/>
      <c r="N225" s="4" t="s">
        <v>73</v>
      </c>
      <c r="O225" s="6">
        <v>45006</v>
      </c>
      <c r="Q225" s="9">
        <f ca="1">IF(P225="",TODAY()-O225,P225-O225)</f>
        <v>563</v>
      </c>
      <c r="S225" s="5" t="s">
        <v>26</v>
      </c>
      <c r="T225" s="4" t="s">
        <v>775</v>
      </c>
      <c r="U225" s="5" t="s">
        <v>29</v>
      </c>
      <c r="V225" s="4">
        <v>922</v>
      </c>
      <c r="W225" s="5" t="s">
        <v>148</v>
      </c>
      <c r="Z225" s="7" t="s">
        <v>768</v>
      </c>
    </row>
    <row r="226" spans="1:26" x14ac:dyDescent="0.25">
      <c r="A226" s="7" t="s">
        <v>1164</v>
      </c>
      <c r="B226" s="7" t="s">
        <v>1071</v>
      </c>
      <c r="C226" s="5" t="s">
        <v>620</v>
      </c>
      <c r="D226" s="4" t="s">
        <v>14</v>
      </c>
      <c r="E226" s="5" t="s">
        <v>24</v>
      </c>
      <c r="F226" s="4" t="s">
        <v>1165</v>
      </c>
      <c r="H226" s="32"/>
      <c r="N226" s="4" t="s">
        <v>73</v>
      </c>
      <c r="O226" s="6">
        <v>45008</v>
      </c>
      <c r="Q226" s="9">
        <f ca="1">IF(P226="",TODAY()-O226,P226-O226)</f>
        <v>561</v>
      </c>
      <c r="S226" s="5" t="s">
        <v>26</v>
      </c>
      <c r="T226" s="4" t="s">
        <v>1167</v>
      </c>
      <c r="U226" s="5" t="s">
        <v>33</v>
      </c>
      <c r="V226" s="4">
        <v>946</v>
      </c>
      <c r="W226" s="5" t="s">
        <v>38</v>
      </c>
      <c r="Z226" s="7" t="s">
        <v>1166</v>
      </c>
    </row>
    <row r="227" spans="1:26" x14ac:dyDescent="0.25">
      <c r="A227" s="7" t="s">
        <v>787</v>
      </c>
      <c r="C227" s="5" t="s">
        <v>12</v>
      </c>
      <c r="D227" s="4" t="s">
        <v>15</v>
      </c>
      <c r="E227" s="5" t="s">
        <v>25</v>
      </c>
      <c r="F227" s="4" t="s">
        <v>591</v>
      </c>
      <c r="G227" s="9" t="s">
        <v>51</v>
      </c>
      <c r="H227" s="32">
        <v>45008</v>
      </c>
      <c r="J227" s="4" t="s">
        <v>102</v>
      </c>
      <c r="K227" s="6">
        <v>45008</v>
      </c>
      <c r="L227" s="56"/>
      <c r="M227" s="56"/>
      <c r="N227" s="4" t="s">
        <v>73</v>
      </c>
      <c r="O227" s="6">
        <v>45008</v>
      </c>
      <c r="P227" s="11">
        <v>45038</v>
      </c>
      <c r="Q227" s="9">
        <f ca="1">IF(P227="",TODAY()-O227,P227-O227)</f>
        <v>30</v>
      </c>
      <c r="R227" s="4" t="s">
        <v>41</v>
      </c>
      <c r="S227" s="5" t="s">
        <v>631</v>
      </c>
      <c r="T227" s="4" t="s">
        <v>38</v>
      </c>
      <c r="U227" s="5" t="s">
        <v>30</v>
      </c>
      <c r="W227" s="5" t="s">
        <v>38</v>
      </c>
      <c r="Z227" s="7" t="s">
        <v>789</v>
      </c>
    </row>
    <row r="228" spans="1:26" x14ac:dyDescent="0.25">
      <c r="A228" s="7" t="s">
        <v>755</v>
      </c>
      <c r="C228" s="5" t="s">
        <v>12</v>
      </c>
      <c r="D228" s="4" t="s">
        <v>16</v>
      </c>
      <c r="E228" s="5" t="s">
        <v>23</v>
      </c>
      <c r="F228" s="4" t="s">
        <v>384</v>
      </c>
      <c r="K228" s="6">
        <v>45019</v>
      </c>
      <c r="L228" s="56"/>
      <c r="M228" s="56"/>
      <c r="N228" s="4" t="s">
        <v>73</v>
      </c>
      <c r="O228" s="6">
        <v>45011</v>
      </c>
      <c r="P228" s="11">
        <v>45024</v>
      </c>
      <c r="Q228" s="9">
        <f ca="1">IF(P228="",TODAY()-O228,P228-O228)</f>
        <v>13</v>
      </c>
      <c r="R228" s="4" t="s">
        <v>257</v>
      </c>
      <c r="S228" s="5" t="s">
        <v>26</v>
      </c>
      <c r="T228" s="4" t="s">
        <v>38</v>
      </c>
      <c r="U228" s="5" t="s">
        <v>33</v>
      </c>
      <c r="W228" s="5" t="s">
        <v>38</v>
      </c>
      <c r="Z228" s="7" t="s">
        <v>754</v>
      </c>
    </row>
    <row r="229" spans="1:26" x14ac:dyDescent="0.25">
      <c r="A229" s="7" t="s">
        <v>872</v>
      </c>
      <c r="C229" s="5" t="s">
        <v>28</v>
      </c>
      <c r="D229" s="4" t="s">
        <v>654</v>
      </c>
      <c r="E229" s="5" t="s">
        <v>24</v>
      </c>
      <c r="F229" s="4" t="s">
        <v>384</v>
      </c>
      <c r="G229" s="9" t="s">
        <v>51</v>
      </c>
      <c r="H229" s="32">
        <v>45013</v>
      </c>
      <c r="I229" s="33">
        <v>45037</v>
      </c>
      <c r="J229" s="4" t="s">
        <v>503</v>
      </c>
      <c r="K229" s="6">
        <v>45013</v>
      </c>
      <c r="L229" s="56"/>
      <c r="M229" s="56"/>
      <c r="N229" s="4" t="s">
        <v>73</v>
      </c>
      <c r="O229" s="6">
        <v>45013</v>
      </c>
      <c r="P229" s="11">
        <v>45066</v>
      </c>
      <c r="Q229" s="9">
        <f ca="1">IF(P229="",TODAY()-O229,P229-O229)</f>
        <v>53</v>
      </c>
      <c r="R229" s="4" t="s">
        <v>41</v>
      </c>
      <c r="S229" s="5" t="s">
        <v>26</v>
      </c>
      <c r="T229" s="4" t="s">
        <v>38</v>
      </c>
      <c r="U229" s="5" t="s">
        <v>30</v>
      </c>
      <c r="W229" s="5" t="s">
        <v>38</v>
      </c>
      <c r="Z229" s="7" t="s">
        <v>871</v>
      </c>
    </row>
    <row r="230" spans="1:26" x14ac:dyDescent="0.25">
      <c r="A230" s="7" t="s">
        <v>756</v>
      </c>
      <c r="C230" s="5" t="s">
        <v>12</v>
      </c>
      <c r="D230" s="4" t="s">
        <v>15</v>
      </c>
      <c r="E230" s="5" t="s">
        <v>24</v>
      </c>
      <c r="F230" s="4" t="s">
        <v>761</v>
      </c>
      <c r="G230" s="9" t="s">
        <v>50</v>
      </c>
      <c r="H230" s="32">
        <v>45028</v>
      </c>
      <c r="I230" s="33">
        <v>45056</v>
      </c>
      <c r="J230" s="4" t="s">
        <v>102</v>
      </c>
      <c r="K230" s="6">
        <v>45028</v>
      </c>
      <c r="L230" s="56"/>
      <c r="M230" s="56"/>
      <c r="N230" s="4" t="s">
        <v>73</v>
      </c>
      <c r="O230" s="6">
        <v>45014</v>
      </c>
      <c r="Q230" s="9">
        <f ca="1">IF(P230="",TODAY()-O230,P230-O230)</f>
        <v>555</v>
      </c>
      <c r="S230" s="5" t="s">
        <v>26</v>
      </c>
      <c r="T230" s="4" t="s">
        <v>38</v>
      </c>
      <c r="U230" s="5" t="s">
        <v>33</v>
      </c>
      <c r="W230" s="5" t="s">
        <v>38</v>
      </c>
      <c r="Z230" s="7" t="s">
        <v>833</v>
      </c>
    </row>
    <row r="231" spans="1:26" x14ac:dyDescent="0.25">
      <c r="A231" s="7" t="s">
        <v>757</v>
      </c>
      <c r="C231" s="5" t="s">
        <v>12</v>
      </c>
      <c r="D231" s="4" t="s">
        <v>15</v>
      </c>
      <c r="E231" s="5" t="s">
        <v>24</v>
      </c>
      <c r="F231" s="4" t="s">
        <v>761</v>
      </c>
      <c r="G231" s="9" t="s">
        <v>50</v>
      </c>
      <c r="H231" s="32">
        <v>45028</v>
      </c>
      <c r="I231" s="33">
        <v>45056</v>
      </c>
      <c r="J231" s="4" t="s">
        <v>102</v>
      </c>
      <c r="K231" s="6">
        <v>45028</v>
      </c>
      <c r="L231" s="56"/>
      <c r="M231" s="56"/>
      <c r="N231" s="4" t="s">
        <v>73</v>
      </c>
      <c r="O231" s="6">
        <v>45014</v>
      </c>
      <c r="Q231" s="9">
        <f ca="1">IF(P231="",TODAY()-O231,P231-O231)</f>
        <v>555</v>
      </c>
      <c r="S231" s="5" t="s">
        <v>26</v>
      </c>
      <c r="T231" s="4" t="s">
        <v>38</v>
      </c>
      <c r="U231" s="5" t="s">
        <v>33</v>
      </c>
      <c r="W231" s="5" t="s">
        <v>38</v>
      </c>
      <c r="Z231" s="7" t="s">
        <v>833</v>
      </c>
    </row>
    <row r="232" spans="1:26" x14ac:dyDescent="0.25">
      <c r="A232" s="7" t="s">
        <v>758</v>
      </c>
      <c r="C232" s="5" t="s">
        <v>12</v>
      </c>
      <c r="D232" s="4" t="s">
        <v>654</v>
      </c>
      <c r="E232" s="5" t="s">
        <v>24</v>
      </c>
      <c r="F232" s="4" t="s">
        <v>761</v>
      </c>
      <c r="G232" s="9" t="s">
        <v>50</v>
      </c>
      <c r="H232" s="32">
        <v>45028</v>
      </c>
      <c r="I232" s="33">
        <v>45056</v>
      </c>
      <c r="J232" s="4" t="s">
        <v>102</v>
      </c>
      <c r="K232" s="6">
        <v>45028</v>
      </c>
      <c r="L232" s="56"/>
      <c r="M232" s="56"/>
      <c r="N232" s="4" t="s">
        <v>73</v>
      </c>
      <c r="O232" s="6">
        <v>45014</v>
      </c>
      <c r="P232" s="11">
        <v>45082</v>
      </c>
      <c r="Q232" s="9">
        <f ca="1">IF(P232="",TODAY()-O232,P232-O232)</f>
        <v>68</v>
      </c>
      <c r="R232" s="4" t="s">
        <v>41</v>
      </c>
      <c r="S232" s="5" t="s">
        <v>26</v>
      </c>
      <c r="T232" s="4" t="s">
        <v>38</v>
      </c>
      <c r="U232" s="5" t="s">
        <v>33</v>
      </c>
      <c r="W232" s="5" t="s">
        <v>38</v>
      </c>
      <c r="Z232" s="7" t="s">
        <v>833</v>
      </c>
    </row>
    <row r="233" spans="1:26" x14ac:dyDescent="0.25">
      <c r="A233" s="7" t="s">
        <v>759</v>
      </c>
      <c r="C233" s="5" t="s">
        <v>12</v>
      </c>
      <c r="D233" s="4" t="s">
        <v>654</v>
      </c>
      <c r="E233" s="5" t="s">
        <v>24</v>
      </c>
      <c r="F233" s="4" t="s">
        <v>761</v>
      </c>
      <c r="G233" s="9" t="s">
        <v>50</v>
      </c>
      <c r="H233" s="32">
        <v>45028</v>
      </c>
      <c r="I233" s="33">
        <v>45056</v>
      </c>
      <c r="J233" s="4" t="s">
        <v>102</v>
      </c>
      <c r="K233" s="6">
        <v>45028</v>
      </c>
      <c r="L233" s="56"/>
      <c r="M233" s="56"/>
      <c r="N233" s="4" t="s">
        <v>73</v>
      </c>
      <c r="O233" s="6">
        <v>45014</v>
      </c>
      <c r="P233" s="11">
        <v>45082</v>
      </c>
      <c r="Q233" s="9">
        <f ca="1">IF(P233="",TODAY()-O233,P233-O233)</f>
        <v>68</v>
      </c>
      <c r="R233" s="4" t="s">
        <v>41</v>
      </c>
      <c r="S233" s="5" t="s">
        <v>26</v>
      </c>
      <c r="T233" s="4" t="s">
        <v>38</v>
      </c>
      <c r="U233" s="5" t="s">
        <v>33</v>
      </c>
      <c r="W233" s="5" t="s">
        <v>38</v>
      </c>
      <c r="Z233" s="7" t="s">
        <v>833</v>
      </c>
    </row>
    <row r="234" spans="1:26" x14ac:dyDescent="0.25">
      <c r="A234" s="7" t="s">
        <v>760</v>
      </c>
      <c r="B234" s="7" t="s">
        <v>1071</v>
      </c>
      <c r="C234" s="5" t="s">
        <v>12</v>
      </c>
      <c r="D234" s="4" t="s">
        <v>311</v>
      </c>
      <c r="E234" s="5" t="s">
        <v>25</v>
      </c>
      <c r="F234" s="4" t="s">
        <v>761</v>
      </c>
      <c r="G234" s="9" t="s">
        <v>50</v>
      </c>
      <c r="H234" s="32">
        <v>45028</v>
      </c>
      <c r="I234" s="33">
        <v>45056</v>
      </c>
      <c r="J234" s="4" t="s">
        <v>102</v>
      </c>
      <c r="K234" s="6">
        <v>45028</v>
      </c>
      <c r="L234" s="56"/>
      <c r="M234" s="56"/>
      <c r="N234" s="4" t="s">
        <v>73</v>
      </c>
      <c r="O234" s="6">
        <v>45014</v>
      </c>
      <c r="P234" s="11">
        <v>45101</v>
      </c>
      <c r="Q234" s="9">
        <f ca="1">IF(P234="",TODAY()-O234,P234-O234)</f>
        <v>87</v>
      </c>
      <c r="R234" s="4" t="s">
        <v>41</v>
      </c>
      <c r="S234" s="5" t="s">
        <v>26</v>
      </c>
      <c r="T234" s="4" t="s">
        <v>38</v>
      </c>
      <c r="U234" s="5" t="s">
        <v>33</v>
      </c>
      <c r="W234" s="5" t="s">
        <v>38</v>
      </c>
      <c r="Z234" s="7" t="s">
        <v>833</v>
      </c>
    </row>
    <row r="235" spans="1:26" x14ac:dyDescent="0.25">
      <c r="A235" s="7" t="s">
        <v>748</v>
      </c>
      <c r="C235" s="5" t="s">
        <v>12</v>
      </c>
      <c r="D235" s="4" t="s">
        <v>18</v>
      </c>
      <c r="E235" s="5" t="s">
        <v>22</v>
      </c>
      <c r="F235" s="4" t="s">
        <v>384</v>
      </c>
      <c r="O235" s="6">
        <v>45015</v>
      </c>
      <c r="P235" s="11">
        <v>45016</v>
      </c>
      <c r="Q235" s="9">
        <f ca="1">IF(P235="",TODAY()-O235,P235-O235)</f>
        <v>1</v>
      </c>
      <c r="R235" s="4" t="s">
        <v>42</v>
      </c>
      <c r="S235" s="5" t="s">
        <v>26</v>
      </c>
      <c r="T235" s="4" t="s">
        <v>112</v>
      </c>
      <c r="U235" s="5" t="s">
        <v>33</v>
      </c>
      <c r="W235" s="5" t="s">
        <v>112</v>
      </c>
      <c r="Z235" s="7" t="s">
        <v>749</v>
      </c>
    </row>
    <row r="236" spans="1:26" x14ac:dyDescent="0.25">
      <c r="A236" s="7" t="s">
        <v>750</v>
      </c>
      <c r="C236" s="5" t="s">
        <v>12</v>
      </c>
      <c r="F236" s="4" t="s">
        <v>384</v>
      </c>
      <c r="O236" s="6">
        <v>45016</v>
      </c>
      <c r="P236" s="11">
        <v>45016</v>
      </c>
      <c r="Q236" s="9">
        <f ca="1">IF(P236="",TODAY()-O236,P236-O236)</f>
        <v>0</v>
      </c>
      <c r="R236" s="4" t="s">
        <v>42</v>
      </c>
      <c r="S236" s="5" t="s">
        <v>26</v>
      </c>
      <c r="U236" s="5" t="s">
        <v>32</v>
      </c>
      <c r="W236" s="5" t="s">
        <v>367</v>
      </c>
      <c r="Z236" s="7" t="s">
        <v>751</v>
      </c>
    </row>
    <row r="237" spans="1:26" x14ac:dyDescent="0.25">
      <c r="A237" s="7" t="s">
        <v>1024</v>
      </c>
      <c r="B237" s="7" t="s">
        <v>1071</v>
      </c>
      <c r="C237" s="5" t="s">
        <v>12</v>
      </c>
      <c r="D237" s="4" t="s">
        <v>311</v>
      </c>
      <c r="E237" s="5" t="s">
        <v>23</v>
      </c>
      <c r="F237" s="4" t="s">
        <v>384</v>
      </c>
      <c r="G237" s="9" t="s">
        <v>50</v>
      </c>
      <c r="H237" s="32">
        <v>45093</v>
      </c>
      <c r="I237" s="33">
        <v>45114</v>
      </c>
      <c r="J237" s="4" t="s">
        <v>102</v>
      </c>
      <c r="K237" s="6">
        <v>45120</v>
      </c>
      <c r="L237" s="56"/>
      <c r="M237" s="56"/>
      <c r="N237" s="4" t="s">
        <v>73</v>
      </c>
      <c r="O237" s="6">
        <v>45016</v>
      </c>
      <c r="P237" s="11">
        <v>45115</v>
      </c>
      <c r="Q237" s="9">
        <f ca="1">IF(P237="",TODAY()-O237,P237-O237)</f>
        <v>99</v>
      </c>
      <c r="R237" s="4" t="s">
        <v>41</v>
      </c>
      <c r="S237" s="5" t="s">
        <v>26</v>
      </c>
      <c r="T237" s="4" t="s">
        <v>114</v>
      </c>
      <c r="U237" s="5" t="s">
        <v>33</v>
      </c>
      <c r="W237" s="5" t="s">
        <v>39</v>
      </c>
      <c r="X237" s="38" t="s">
        <v>1569</v>
      </c>
      <c r="Z237" s="7" t="s">
        <v>1271</v>
      </c>
    </row>
    <row r="238" spans="1:26" x14ac:dyDescent="0.25">
      <c r="A238" s="7" t="s">
        <v>752</v>
      </c>
      <c r="C238" s="5" t="s">
        <v>12</v>
      </c>
      <c r="D238" s="4" t="s">
        <v>311</v>
      </c>
      <c r="E238" s="5" t="s">
        <v>25</v>
      </c>
      <c r="F238" s="4" t="s">
        <v>384</v>
      </c>
      <c r="K238" s="6">
        <v>45017</v>
      </c>
      <c r="L238" s="56"/>
      <c r="M238" s="56"/>
      <c r="N238" s="4" t="s">
        <v>73</v>
      </c>
      <c r="O238" s="6">
        <v>45017</v>
      </c>
      <c r="P238" s="11">
        <v>45030</v>
      </c>
      <c r="Q238" s="9">
        <f ca="1">IF(P238="",TODAY()-O238,P238-O238)</f>
        <v>13</v>
      </c>
      <c r="R238" s="4" t="s">
        <v>257</v>
      </c>
      <c r="S238" s="5" t="s">
        <v>26</v>
      </c>
      <c r="T238" s="4" t="s">
        <v>112</v>
      </c>
      <c r="U238" s="5" t="s">
        <v>30</v>
      </c>
      <c r="W238" s="5" t="s">
        <v>39</v>
      </c>
      <c r="Z238" s="7" t="s">
        <v>753</v>
      </c>
    </row>
    <row r="239" spans="1:26" x14ac:dyDescent="0.25">
      <c r="A239" s="7" t="s">
        <v>776</v>
      </c>
      <c r="B239" s="7" t="s">
        <v>1071</v>
      </c>
      <c r="C239" s="5" t="s">
        <v>620</v>
      </c>
      <c r="D239" s="4" t="s">
        <v>14</v>
      </c>
      <c r="E239" s="5" t="s">
        <v>25</v>
      </c>
      <c r="F239" s="4" t="s">
        <v>777</v>
      </c>
      <c r="G239" s="9" t="s">
        <v>51</v>
      </c>
      <c r="H239" s="32">
        <v>45016</v>
      </c>
      <c r="I239" s="33">
        <v>45040</v>
      </c>
      <c r="J239" s="4" t="s">
        <v>101</v>
      </c>
      <c r="N239" s="4" t="s">
        <v>73</v>
      </c>
      <c r="O239" s="6">
        <v>45021</v>
      </c>
      <c r="P239" s="11">
        <v>45137</v>
      </c>
      <c r="Q239" s="9">
        <f ca="1">IF(P239="",TODAY()-O239,P239-O239)</f>
        <v>116</v>
      </c>
      <c r="R239" s="4" t="s">
        <v>41</v>
      </c>
      <c r="S239" s="5" t="s">
        <v>27</v>
      </c>
      <c r="T239" s="4" t="s">
        <v>781</v>
      </c>
      <c r="U239" s="5" t="s">
        <v>29</v>
      </c>
      <c r="V239" s="4">
        <v>923</v>
      </c>
      <c r="W239" s="5" t="s">
        <v>148</v>
      </c>
      <c r="X239" s="38" t="s">
        <v>880</v>
      </c>
      <c r="Z239" s="7" t="s">
        <v>778</v>
      </c>
    </row>
    <row r="240" spans="1:26" x14ac:dyDescent="0.25">
      <c r="A240" s="7" t="s">
        <v>784</v>
      </c>
      <c r="B240" s="7" t="s">
        <v>1071</v>
      </c>
      <c r="C240" s="5" t="s">
        <v>12</v>
      </c>
      <c r="D240" s="4" t="s">
        <v>14</v>
      </c>
      <c r="E240" s="5" t="s">
        <v>24</v>
      </c>
      <c r="F240" s="4" t="s">
        <v>785</v>
      </c>
      <c r="G240" s="9" t="s">
        <v>51</v>
      </c>
      <c r="H240" s="32">
        <v>45041</v>
      </c>
      <c r="I240" s="33"/>
      <c r="J240" s="4" t="s">
        <v>102</v>
      </c>
      <c r="L240" s="7" t="s">
        <v>2017</v>
      </c>
      <c r="M240" s="7" t="s">
        <v>2016</v>
      </c>
      <c r="N240" s="4" t="s">
        <v>73</v>
      </c>
      <c r="O240" s="6">
        <v>45026</v>
      </c>
      <c r="P240" s="11">
        <v>45133</v>
      </c>
      <c r="Q240" s="9">
        <f ca="1">IF(P240="",TODAY()-O240,P240-O240)</f>
        <v>107</v>
      </c>
      <c r="R240" s="4" t="s">
        <v>896</v>
      </c>
      <c r="S240" s="5" t="s">
        <v>631</v>
      </c>
      <c r="T240" s="4" t="s">
        <v>38</v>
      </c>
      <c r="U240" s="5" t="s">
        <v>30</v>
      </c>
      <c r="W240" s="5" t="s">
        <v>38</v>
      </c>
      <c r="Z240" s="7" t="s">
        <v>2816</v>
      </c>
    </row>
    <row r="241" spans="1:26" x14ac:dyDescent="0.25">
      <c r="A241" s="7" t="s">
        <v>782</v>
      </c>
      <c r="B241" s="7" t="s">
        <v>1071</v>
      </c>
      <c r="C241" s="5" t="s">
        <v>12</v>
      </c>
      <c r="D241" s="4" t="s">
        <v>20</v>
      </c>
      <c r="E241" s="5" t="s">
        <v>24</v>
      </c>
      <c r="F241" s="4" t="s">
        <v>591</v>
      </c>
      <c r="N241" s="4" t="s">
        <v>73</v>
      </c>
      <c r="O241" s="6">
        <v>45032</v>
      </c>
      <c r="Q241" s="9">
        <f ca="1">IF(P241="",TODAY()-O241,P241-O241)</f>
        <v>537</v>
      </c>
      <c r="S241" s="5" t="s">
        <v>26</v>
      </c>
      <c r="T241" s="4" t="s">
        <v>817</v>
      </c>
      <c r="U241" s="5" t="s">
        <v>29</v>
      </c>
      <c r="V241" s="4">
        <v>925</v>
      </c>
      <c r="W241" s="5" t="s">
        <v>39</v>
      </c>
      <c r="Z241" s="7" t="s">
        <v>783</v>
      </c>
    </row>
    <row r="242" spans="1:26" x14ac:dyDescent="0.25">
      <c r="A242" s="7" t="s">
        <v>1567</v>
      </c>
      <c r="B242" s="7" t="s">
        <v>1071</v>
      </c>
      <c r="C242" s="5" t="s">
        <v>12</v>
      </c>
      <c r="D242" s="4" t="s">
        <v>17</v>
      </c>
      <c r="E242" s="5" t="s">
        <v>22</v>
      </c>
      <c r="F242" s="4" t="s">
        <v>801</v>
      </c>
      <c r="G242" s="9" t="s">
        <v>50</v>
      </c>
      <c r="H242" s="32">
        <v>45093</v>
      </c>
      <c r="I242" s="33">
        <v>45114</v>
      </c>
      <c r="J242" s="4" t="s">
        <v>102</v>
      </c>
      <c r="N242" s="4" t="s">
        <v>73</v>
      </c>
      <c r="O242" s="6">
        <v>45036</v>
      </c>
      <c r="P242" s="11">
        <v>45116</v>
      </c>
      <c r="Q242" s="9">
        <f ca="1">IF(P242="",TODAY()-O242,P242-O242)</f>
        <v>80</v>
      </c>
      <c r="R242" s="4" t="s">
        <v>41</v>
      </c>
      <c r="S242" s="5" t="s">
        <v>121</v>
      </c>
      <c r="T242" s="4" t="s">
        <v>114</v>
      </c>
      <c r="U242" s="5" t="s">
        <v>33</v>
      </c>
      <c r="W242" s="5" t="s">
        <v>39</v>
      </c>
      <c r="X242" s="38" t="s">
        <v>1568</v>
      </c>
      <c r="Z242" s="7" t="s">
        <v>1081</v>
      </c>
    </row>
    <row r="243" spans="1:26" x14ac:dyDescent="0.25">
      <c r="A243" s="7" t="s">
        <v>1274</v>
      </c>
      <c r="C243" s="5" t="s">
        <v>12</v>
      </c>
      <c r="D243" s="4" t="s">
        <v>311</v>
      </c>
      <c r="E243" s="5" t="s">
        <v>22</v>
      </c>
      <c r="F243" s="4" t="s">
        <v>802</v>
      </c>
      <c r="G243" s="9" t="s">
        <v>50</v>
      </c>
      <c r="H243" s="32">
        <v>45093</v>
      </c>
      <c r="I243" s="33">
        <v>45114</v>
      </c>
      <c r="J243" s="4" t="s">
        <v>102</v>
      </c>
      <c r="N243" s="4" t="s">
        <v>73</v>
      </c>
      <c r="O243" s="6">
        <v>45038</v>
      </c>
      <c r="P243" s="11">
        <v>45115</v>
      </c>
      <c r="Q243" s="9">
        <f ca="1">IF(P243="",TODAY()-O243,P243-O243)</f>
        <v>77</v>
      </c>
      <c r="R243" s="4" t="s">
        <v>41</v>
      </c>
      <c r="S243" s="5" t="s">
        <v>28</v>
      </c>
      <c r="T243" s="4" t="s">
        <v>114</v>
      </c>
      <c r="U243" s="5" t="s">
        <v>33</v>
      </c>
      <c r="W243" s="5" t="s">
        <v>39</v>
      </c>
      <c r="X243" s="38" t="s">
        <v>1570</v>
      </c>
      <c r="Z243" s="7" t="s">
        <v>1080</v>
      </c>
    </row>
    <row r="244" spans="1:26" x14ac:dyDescent="0.25">
      <c r="A244" s="7" t="s">
        <v>1272</v>
      </c>
      <c r="B244" s="7" t="s">
        <v>1071</v>
      </c>
      <c r="C244" s="5" t="s">
        <v>12</v>
      </c>
      <c r="D244" s="4" t="s">
        <v>17</v>
      </c>
      <c r="E244" s="5" t="s">
        <v>22</v>
      </c>
      <c r="F244" s="4" t="s">
        <v>802</v>
      </c>
      <c r="G244" s="9" t="s">
        <v>50</v>
      </c>
      <c r="H244" s="32">
        <v>45093</v>
      </c>
      <c r="I244" s="33">
        <v>45114</v>
      </c>
      <c r="J244" s="4" t="s">
        <v>102</v>
      </c>
      <c r="N244" s="4" t="s">
        <v>73</v>
      </c>
      <c r="O244" s="6">
        <v>45038</v>
      </c>
      <c r="P244" s="11">
        <v>45115</v>
      </c>
      <c r="Q244" s="9">
        <f ca="1">IF(P244="",TODAY()-O244,P244-O244)</f>
        <v>77</v>
      </c>
      <c r="R244" s="4" t="s">
        <v>41</v>
      </c>
      <c r="S244" s="5" t="s">
        <v>28</v>
      </c>
      <c r="T244" s="4" t="s">
        <v>114</v>
      </c>
      <c r="U244" s="5" t="s">
        <v>33</v>
      </c>
      <c r="W244" s="5" t="s">
        <v>39</v>
      </c>
      <c r="X244" s="38" t="s">
        <v>1572</v>
      </c>
      <c r="Z244" s="7" t="s">
        <v>1080</v>
      </c>
    </row>
    <row r="245" spans="1:26" x14ac:dyDescent="0.25">
      <c r="A245" s="7" t="s">
        <v>1273</v>
      </c>
      <c r="B245" s="7" t="s">
        <v>1071</v>
      </c>
      <c r="C245" s="5" t="s">
        <v>12</v>
      </c>
      <c r="D245" s="4" t="s">
        <v>174</v>
      </c>
      <c r="E245" s="5" t="s">
        <v>22</v>
      </c>
      <c r="F245" s="4" t="s">
        <v>802</v>
      </c>
      <c r="G245" s="9" t="s">
        <v>50</v>
      </c>
      <c r="H245" s="32">
        <v>45093</v>
      </c>
      <c r="I245" s="33">
        <v>45114</v>
      </c>
      <c r="J245" s="4" t="s">
        <v>102</v>
      </c>
      <c r="N245" s="4" t="s">
        <v>73</v>
      </c>
      <c r="O245" s="6">
        <v>45038</v>
      </c>
      <c r="P245" s="11">
        <v>45115</v>
      </c>
      <c r="Q245" s="9">
        <f ca="1">IF(P245="",TODAY()-O245,P245-O245)</f>
        <v>77</v>
      </c>
      <c r="R245" s="4" t="s">
        <v>41</v>
      </c>
      <c r="S245" s="5" t="s">
        <v>28</v>
      </c>
      <c r="T245" s="4" t="s">
        <v>114</v>
      </c>
      <c r="U245" s="5" t="s">
        <v>33</v>
      </c>
      <c r="W245" s="5" t="s">
        <v>39</v>
      </c>
      <c r="X245" s="38" t="s">
        <v>1571</v>
      </c>
      <c r="Z245" s="7" t="s">
        <v>1080</v>
      </c>
    </row>
    <row r="246" spans="1:26" ht="45" x14ac:dyDescent="0.25">
      <c r="A246" s="28" t="s">
        <v>795</v>
      </c>
      <c r="B246" s="28" t="s">
        <v>1071</v>
      </c>
      <c r="C246" s="14" t="s">
        <v>12</v>
      </c>
      <c r="D246" s="13" t="s">
        <v>311</v>
      </c>
      <c r="E246" s="14" t="s">
        <v>23</v>
      </c>
      <c r="F246" s="13" t="s">
        <v>494</v>
      </c>
      <c r="G246" s="15" t="s">
        <v>51</v>
      </c>
      <c r="H246" s="35">
        <v>45051</v>
      </c>
      <c r="I246" s="34">
        <v>45075</v>
      </c>
      <c r="J246" s="13" t="s">
        <v>101</v>
      </c>
      <c r="K246" s="16">
        <v>45075</v>
      </c>
      <c r="L246" s="57"/>
      <c r="M246" s="57"/>
      <c r="N246" s="13" t="s">
        <v>73</v>
      </c>
      <c r="O246" s="16">
        <v>45045</v>
      </c>
      <c r="P246" s="36">
        <v>45092</v>
      </c>
      <c r="Q246" s="9">
        <f ca="1">IF(P246="",TODAY()-O246,P246-O246)</f>
        <v>47</v>
      </c>
      <c r="R246" s="13" t="s">
        <v>41</v>
      </c>
      <c r="S246" s="14" t="s">
        <v>27</v>
      </c>
      <c r="T246" s="13" t="s">
        <v>199</v>
      </c>
      <c r="U246" s="14" t="s">
        <v>29</v>
      </c>
      <c r="V246" s="13">
        <v>927</v>
      </c>
      <c r="W246" s="14" t="s">
        <v>39</v>
      </c>
      <c r="X246" s="39" t="s">
        <v>903</v>
      </c>
      <c r="Y246" s="43"/>
      <c r="Z246" s="17" t="s">
        <v>904</v>
      </c>
    </row>
    <row r="247" spans="1:26" x14ac:dyDescent="0.25">
      <c r="A247" s="7" t="s">
        <v>1262</v>
      </c>
      <c r="B247" s="7" t="s">
        <v>1071</v>
      </c>
      <c r="C247" s="5" t="s">
        <v>12</v>
      </c>
      <c r="D247" s="4" t="s">
        <v>17</v>
      </c>
      <c r="E247" s="5" t="s">
        <v>23</v>
      </c>
      <c r="F247" s="4" t="s">
        <v>799</v>
      </c>
      <c r="G247" s="9" t="s">
        <v>50</v>
      </c>
      <c r="H247" s="32">
        <v>45084</v>
      </c>
      <c r="I247" s="33">
        <v>45117</v>
      </c>
      <c r="J247" s="4" t="s">
        <v>503</v>
      </c>
      <c r="N247" s="4" t="s">
        <v>73</v>
      </c>
      <c r="O247" s="6">
        <v>45047</v>
      </c>
      <c r="P247" s="11">
        <v>45121</v>
      </c>
      <c r="Q247" s="9">
        <f ca="1">IF(P247="",TODAY()-O247,P247-O247)</f>
        <v>74</v>
      </c>
      <c r="R247" s="4" t="s">
        <v>41</v>
      </c>
      <c r="S247" s="5" t="s">
        <v>28</v>
      </c>
      <c r="T247" s="4" t="s">
        <v>690</v>
      </c>
      <c r="U247" s="5" t="s">
        <v>30</v>
      </c>
      <c r="W247" s="5" t="s">
        <v>38</v>
      </c>
      <c r="X247" s="38" t="s">
        <v>1264</v>
      </c>
      <c r="Z247" s="7" t="s">
        <v>800</v>
      </c>
    </row>
    <row r="248" spans="1:26" x14ac:dyDescent="0.25">
      <c r="A248" s="7" t="s">
        <v>1263</v>
      </c>
      <c r="B248" s="7" t="s">
        <v>1071</v>
      </c>
      <c r="C248" s="5" t="s">
        <v>12</v>
      </c>
      <c r="D248" s="4" t="s">
        <v>17</v>
      </c>
      <c r="E248" s="5" t="s">
        <v>23</v>
      </c>
      <c r="F248" s="4" t="s">
        <v>799</v>
      </c>
      <c r="G248" s="9" t="s">
        <v>50</v>
      </c>
      <c r="H248" s="32">
        <v>45084</v>
      </c>
      <c r="I248" s="33">
        <v>45117</v>
      </c>
      <c r="J248" s="4" t="s">
        <v>503</v>
      </c>
      <c r="N248" s="4" t="s">
        <v>73</v>
      </c>
      <c r="O248" s="6">
        <v>45047</v>
      </c>
      <c r="P248" s="11">
        <v>45121</v>
      </c>
      <c r="Q248" s="9">
        <f ca="1">IF(P248="",TODAY()-O248,P248-O248)</f>
        <v>74</v>
      </c>
      <c r="R248" s="4" t="s">
        <v>41</v>
      </c>
      <c r="S248" s="5" t="s">
        <v>28</v>
      </c>
      <c r="T248" s="4" t="s">
        <v>690</v>
      </c>
      <c r="U248" s="5" t="s">
        <v>30</v>
      </c>
      <c r="W248" s="5" t="s">
        <v>38</v>
      </c>
      <c r="X248" s="38" t="s">
        <v>1265</v>
      </c>
    </row>
    <row r="249" spans="1:26" x14ac:dyDescent="0.25">
      <c r="A249" s="7" t="s">
        <v>796</v>
      </c>
      <c r="C249" s="5" t="s">
        <v>12</v>
      </c>
      <c r="D249" s="4" t="s">
        <v>17</v>
      </c>
      <c r="E249" s="5" t="s">
        <v>22</v>
      </c>
      <c r="F249" s="4" t="s">
        <v>384</v>
      </c>
      <c r="N249" s="4" t="s">
        <v>73</v>
      </c>
      <c r="O249" s="6">
        <v>45048</v>
      </c>
      <c r="Q249" s="9">
        <f ca="1">IF(P249="",TODAY()-O249,P249-O249)</f>
        <v>521</v>
      </c>
      <c r="S249" s="5" t="s">
        <v>26</v>
      </c>
      <c r="T249" s="4" t="s">
        <v>618</v>
      </c>
      <c r="U249" s="5" t="s">
        <v>30</v>
      </c>
      <c r="W249" s="5" t="s">
        <v>38</v>
      </c>
      <c r="Z249" s="7" t="s">
        <v>797</v>
      </c>
    </row>
    <row r="250" spans="1:26" x14ac:dyDescent="0.25">
      <c r="A250" s="7" t="s">
        <v>803</v>
      </c>
      <c r="B250" s="7" t="s">
        <v>1071</v>
      </c>
      <c r="C250" s="5" t="s">
        <v>12</v>
      </c>
      <c r="D250" s="4" t="s">
        <v>16</v>
      </c>
      <c r="E250" s="5" t="s">
        <v>22</v>
      </c>
      <c r="F250" s="4" t="s">
        <v>384</v>
      </c>
      <c r="O250" s="6">
        <v>45048</v>
      </c>
      <c r="P250" s="11">
        <v>45048</v>
      </c>
      <c r="Q250" s="9">
        <f ca="1">IF(P250="",TODAY()-O250,P250-O250)</f>
        <v>0</v>
      </c>
      <c r="R250" s="4" t="s">
        <v>42</v>
      </c>
      <c r="S250" s="5" t="s">
        <v>631</v>
      </c>
      <c r="U250" s="5" t="s">
        <v>32</v>
      </c>
      <c r="W250" s="5" t="s">
        <v>148</v>
      </c>
      <c r="Z250" s="7" t="s">
        <v>798</v>
      </c>
    </row>
    <row r="251" spans="1:26" x14ac:dyDescent="0.25">
      <c r="A251" s="7" t="s">
        <v>804</v>
      </c>
      <c r="B251" s="7" t="s">
        <v>1071</v>
      </c>
      <c r="C251" s="5" t="s">
        <v>12</v>
      </c>
      <c r="D251" s="4" t="s">
        <v>16</v>
      </c>
      <c r="E251" s="5" t="s">
        <v>24</v>
      </c>
      <c r="F251" s="4" t="s">
        <v>384</v>
      </c>
      <c r="O251" s="6">
        <v>45049</v>
      </c>
      <c r="P251" s="11">
        <v>45050</v>
      </c>
      <c r="Q251" s="9">
        <f ca="1">IF(P251="",TODAY()-O251,P251-O251)</f>
        <v>1</v>
      </c>
      <c r="R251" s="4" t="s">
        <v>257</v>
      </c>
      <c r="S251" s="5" t="s">
        <v>631</v>
      </c>
      <c r="U251" s="5" t="s">
        <v>32</v>
      </c>
      <c r="W251" s="5" t="s">
        <v>148</v>
      </c>
      <c r="Z251" s="7" t="s">
        <v>819</v>
      </c>
    </row>
    <row r="252" spans="1:26" x14ac:dyDescent="0.25">
      <c r="A252" s="7" t="s">
        <v>818</v>
      </c>
      <c r="B252" s="7" t="s">
        <v>1071</v>
      </c>
      <c r="C252" s="5" t="s">
        <v>12</v>
      </c>
      <c r="D252" s="4" t="s">
        <v>18</v>
      </c>
      <c r="E252" s="5" t="s">
        <v>24</v>
      </c>
      <c r="F252" s="4" t="s">
        <v>805</v>
      </c>
      <c r="G252" s="9" t="s">
        <v>51</v>
      </c>
      <c r="H252" s="32">
        <v>45042</v>
      </c>
      <c r="I252" s="33">
        <v>45078</v>
      </c>
      <c r="J252" s="4" t="s">
        <v>503</v>
      </c>
      <c r="K252" s="6">
        <v>45049</v>
      </c>
      <c r="L252" s="56"/>
      <c r="M252" s="56"/>
      <c r="N252" s="4" t="s">
        <v>73</v>
      </c>
      <c r="O252" s="6">
        <v>45049</v>
      </c>
      <c r="P252" s="11">
        <v>45116</v>
      </c>
      <c r="Q252" s="9">
        <f ca="1">IF(P252="",TODAY()-O252,P252-O252)</f>
        <v>67</v>
      </c>
      <c r="R252" s="4" t="s">
        <v>41</v>
      </c>
      <c r="S252" s="5" t="s">
        <v>27</v>
      </c>
      <c r="T252" s="4" t="s">
        <v>38</v>
      </c>
      <c r="U252" s="5" t="s">
        <v>30</v>
      </c>
      <c r="W252" s="5" t="s">
        <v>38</v>
      </c>
      <c r="X252" s="38" t="s">
        <v>1277</v>
      </c>
      <c r="Y252" s="44">
        <v>45078</v>
      </c>
      <c r="Z252" s="7" t="s">
        <v>1625</v>
      </c>
    </row>
    <row r="253" spans="1:26" s="13" customFormat="1" x14ac:dyDescent="0.25">
      <c r="A253" s="28" t="s">
        <v>1183</v>
      </c>
      <c r="B253" s="28" t="s">
        <v>1071</v>
      </c>
      <c r="C253" s="14" t="s">
        <v>12</v>
      </c>
      <c r="D253" s="13" t="s">
        <v>17</v>
      </c>
      <c r="E253" s="14" t="s">
        <v>23</v>
      </c>
      <c r="F253" s="13" t="s">
        <v>591</v>
      </c>
      <c r="G253" s="15" t="s">
        <v>51</v>
      </c>
      <c r="H253" s="35">
        <v>45085</v>
      </c>
      <c r="I253" s="34">
        <v>45106</v>
      </c>
      <c r="J253" s="13" t="s">
        <v>503</v>
      </c>
      <c r="K253" s="16">
        <v>45106</v>
      </c>
      <c r="L253" s="57"/>
      <c r="M253" s="57"/>
      <c r="N253" s="13" t="s">
        <v>73</v>
      </c>
      <c r="O253" s="16">
        <v>45049</v>
      </c>
      <c r="P253" s="36">
        <v>45164</v>
      </c>
      <c r="Q253" s="9">
        <f ca="1">IF(P253="",TODAY()-O253,P253-O253)</f>
        <v>115</v>
      </c>
      <c r="R253" s="13" t="s">
        <v>41</v>
      </c>
      <c r="S253" s="14" t="s">
        <v>27</v>
      </c>
      <c r="T253" s="13" t="s">
        <v>809</v>
      </c>
      <c r="U253" s="14" t="s">
        <v>30</v>
      </c>
      <c r="W253" s="14" t="s">
        <v>38</v>
      </c>
      <c r="X253" s="39" t="s">
        <v>1184</v>
      </c>
      <c r="Y253" s="43"/>
      <c r="Z253" s="28" t="s">
        <v>1477</v>
      </c>
    </row>
    <row r="254" spans="1:26" x14ac:dyDescent="0.25">
      <c r="A254" s="7" t="s">
        <v>1179</v>
      </c>
      <c r="C254" s="5" t="s">
        <v>12</v>
      </c>
      <c r="D254" s="4" t="s">
        <v>17</v>
      </c>
      <c r="E254" s="5" t="s">
        <v>22</v>
      </c>
      <c r="F254" s="4" t="s">
        <v>806</v>
      </c>
      <c r="G254" s="9" t="s">
        <v>51</v>
      </c>
      <c r="H254" s="32"/>
      <c r="N254" s="4" t="s">
        <v>73</v>
      </c>
      <c r="O254" s="6">
        <v>45049</v>
      </c>
      <c r="P254" s="11">
        <v>45053</v>
      </c>
      <c r="Q254" s="9">
        <f ca="1">IF(P254="",TODAY()-O254,P254-O254)</f>
        <v>4</v>
      </c>
      <c r="R254" s="4" t="s">
        <v>42</v>
      </c>
      <c r="S254" s="5" t="s">
        <v>27</v>
      </c>
      <c r="T254" s="4" t="s">
        <v>809</v>
      </c>
      <c r="U254" s="5" t="s">
        <v>30</v>
      </c>
      <c r="W254" s="5" t="s">
        <v>38</v>
      </c>
      <c r="Z254" s="7" t="s">
        <v>820</v>
      </c>
    </row>
    <row r="255" spans="1:26" x14ac:dyDescent="0.25">
      <c r="A255" s="7" t="s">
        <v>1181</v>
      </c>
      <c r="B255" s="7" t="s">
        <v>1071</v>
      </c>
      <c r="C255" s="5" t="s">
        <v>620</v>
      </c>
      <c r="D255" s="4" t="s">
        <v>713</v>
      </c>
      <c r="E255" s="5" t="s">
        <v>22</v>
      </c>
      <c r="F255" s="4" t="s">
        <v>806</v>
      </c>
      <c r="G255" s="9" t="s">
        <v>51</v>
      </c>
      <c r="H255" s="32">
        <v>45085</v>
      </c>
      <c r="I255" s="33">
        <v>45106</v>
      </c>
      <c r="J255" s="4" t="s">
        <v>503</v>
      </c>
      <c r="N255" s="4" t="s">
        <v>73</v>
      </c>
      <c r="O255" s="6">
        <v>45049</v>
      </c>
      <c r="P255" s="11">
        <v>45136</v>
      </c>
      <c r="Q255" s="9">
        <f ca="1">IF(P255="",TODAY()-O255,P255-O255)</f>
        <v>87</v>
      </c>
      <c r="R255" s="4" t="s">
        <v>41</v>
      </c>
      <c r="S255" s="5" t="s">
        <v>27</v>
      </c>
      <c r="T255" s="4" t="s">
        <v>809</v>
      </c>
      <c r="U255" s="5" t="s">
        <v>30</v>
      </c>
      <c r="W255" s="5" t="s">
        <v>38</v>
      </c>
      <c r="X255" s="38" t="s">
        <v>1182</v>
      </c>
      <c r="Z255" s="7" t="s">
        <v>812</v>
      </c>
    </row>
    <row r="256" spans="1:26" x14ac:dyDescent="0.25">
      <c r="A256" s="7" t="s">
        <v>1185</v>
      </c>
      <c r="C256" s="5" t="s">
        <v>12</v>
      </c>
      <c r="D256" s="4" t="s">
        <v>17</v>
      </c>
      <c r="E256" s="5" t="s">
        <v>22</v>
      </c>
      <c r="F256" s="4" t="s">
        <v>806</v>
      </c>
      <c r="G256" s="9" t="s">
        <v>51</v>
      </c>
      <c r="H256" s="32">
        <v>45085</v>
      </c>
      <c r="I256" s="33">
        <v>45106</v>
      </c>
      <c r="J256" s="4" t="s">
        <v>503</v>
      </c>
      <c r="N256" s="4" t="s">
        <v>73</v>
      </c>
      <c r="O256" s="6">
        <v>45049</v>
      </c>
      <c r="Q256" s="9">
        <f ca="1">IF(P256="",TODAY()-O256,P256-O256)</f>
        <v>520</v>
      </c>
      <c r="S256" s="5" t="s">
        <v>27</v>
      </c>
      <c r="T256" s="4" t="s">
        <v>809</v>
      </c>
      <c r="U256" s="5" t="s">
        <v>30</v>
      </c>
      <c r="W256" s="5" t="s">
        <v>38</v>
      </c>
      <c r="X256" s="38" t="s">
        <v>1186</v>
      </c>
      <c r="Z256" s="7" t="s">
        <v>812</v>
      </c>
    </row>
    <row r="257" spans="1:26" x14ac:dyDescent="0.25">
      <c r="A257" s="7" t="s">
        <v>1187</v>
      </c>
      <c r="C257" s="5" t="s">
        <v>12</v>
      </c>
      <c r="D257" s="4" t="s">
        <v>17</v>
      </c>
      <c r="E257" s="5" t="s">
        <v>22</v>
      </c>
      <c r="F257" s="4" t="s">
        <v>806</v>
      </c>
      <c r="G257" s="9" t="s">
        <v>51</v>
      </c>
      <c r="H257" s="32">
        <v>45085</v>
      </c>
      <c r="I257" s="33">
        <v>45106</v>
      </c>
      <c r="J257" s="4" t="s">
        <v>503</v>
      </c>
      <c r="N257" s="4" t="s">
        <v>73</v>
      </c>
      <c r="O257" s="6">
        <v>45049</v>
      </c>
      <c r="P257" s="11">
        <v>45136</v>
      </c>
      <c r="Q257" s="9">
        <f ca="1">IF(P257="",TODAY()-O257,P257-O257)</f>
        <v>87</v>
      </c>
      <c r="R257" s="4" t="s">
        <v>41</v>
      </c>
      <c r="S257" s="5" t="s">
        <v>27</v>
      </c>
      <c r="T257" s="4" t="s">
        <v>809</v>
      </c>
      <c r="U257" s="5" t="s">
        <v>30</v>
      </c>
      <c r="W257" s="5" t="s">
        <v>38</v>
      </c>
      <c r="X257" s="38" t="s">
        <v>1188</v>
      </c>
      <c r="Z257" s="7" t="s">
        <v>812</v>
      </c>
    </row>
    <row r="258" spans="1:26" x14ac:dyDescent="0.25">
      <c r="B258" s="7" t="s">
        <v>1071</v>
      </c>
      <c r="C258" s="5" t="s">
        <v>620</v>
      </c>
      <c r="D258" s="4" t="s">
        <v>19</v>
      </c>
      <c r="E258" s="5" t="s">
        <v>23</v>
      </c>
      <c r="F258" s="4" t="s">
        <v>806</v>
      </c>
      <c r="G258" s="9" t="s">
        <v>51</v>
      </c>
      <c r="H258" s="32">
        <v>45085</v>
      </c>
      <c r="I258" s="33">
        <v>45106</v>
      </c>
      <c r="J258" s="4" t="s">
        <v>503</v>
      </c>
      <c r="N258" s="4" t="s">
        <v>73</v>
      </c>
      <c r="O258" s="6">
        <v>45049</v>
      </c>
      <c r="P258" s="11">
        <v>45129</v>
      </c>
      <c r="Q258" s="9">
        <f ca="1">IF(P258="",TODAY()-O258,P258-O258)</f>
        <v>80</v>
      </c>
      <c r="R258" s="4" t="s">
        <v>41</v>
      </c>
      <c r="S258" s="5" t="s">
        <v>27</v>
      </c>
      <c r="T258" s="4" t="s">
        <v>809</v>
      </c>
      <c r="U258" s="5" t="s">
        <v>30</v>
      </c>
      <c r="W258" s="5" t="s">
        <v>38</v>
      </c>
      <c r="X258" s="38" t="s">
        <v>1178</v>
      </c>
      <c r="Z258" s="7" t="s">
        <v>1591</v>
      </c>
    </row>
    <row r="259" spans="1:26" x14ac:dyDescent="0.25">
      <c r="A259" s="7" t="s">
        <v>822</v>
      </c>
      <c r="B259" s="7" t="s">
        <v>1071</v>
      </c>
      <c r="C259" s="5" t="s">
        <v>620</v>
      </c>
      <c r="D259" s="4" t="s">
        <v>16</v>
      </c>
      <c r="E259" s="5" t="s">
        <v>25</v>
      </c>
      <c r="F259" s="4" t="s">
        <v>596</v>
      </c>
      <c r="G259" s="9" t="s">
        <v>51</v>
      </c>
      <c r="H259" s="32">
        <v>45142</v>
      </c>
      <c r="I259" s="33">
        <v>45194</v>
      </c>
      <c r="J259" s="4" t="s">
        <v>503</v>
      </c>
      <c r="K259" s="6">
        <v>45142</v>
      </c>
      <c r="L259" s="56"/>
      <c r="M259" s="56"/>
      <c r="N259" s="4" t="s">
        <v>73</v>
      </c>
      <c r="O259" s="6">
        <v>45055</v>
      </c>
      <c r="P259" s="11">
        <v>45245</v>
      </c>
      <c r="Q259" s="9">
        <f ca="1">IF(P259="",TODAY()-O259,P259-O259)</f>
        <v>190</v>
      </c>
      <c r="R259" s="4" t="s">
        <v>41</v>
      </c>
      <c r="S259" s="5" t="s">
        <v>26</v>
      </c>
      <c r="T259" s="4" t="s">
        <v>112</v>
      </c>
      <c r="U259" s="5" t="s">
        <v>30</v>
      </c>
      <c r="W259" s="5" t="s">
        <v>39</v>
      </c>
      <c r="X259" s="38" t="s">
        <v>1789</v>
      </c>
      <c r="Y259" s="44">
        <v>45142</v>
      </c>
      <c r="Z259" s="7" t="s">
        <v>1790</v>
      </c>
    </row>
    <row r="260" spans="1:26" x14ac:dyDescent="0.25">
      <c r="A260" s="7" t="s">
        <v>1903</v>
      </c>
      <c r="B260" s="7" t="s">
        <v>1071</v>
      </c>
      <c r="C260" s="5" t="s">
        <v>12</v>
      </c>
      <c r="D260" s="4" t="s">
        <v>174</v>
      </c>
      <c r="E260" s="5" t="s">
        <v>25</v>
      </c>
      <c r="F260" s="4" t="s">
        <v>591</v>
      </c>
      <c r="G260" s="9" t="s">
        <v>51</v>
      </c>
      <c r="H260" s="32">
        <v>45110</v>
      </c>
      <c r="I260" s="33">
        <v>45134</v>
      </c>
      <c r="J260" s="4" t="s">
        <v>101</v>
      </c>
      <c r="K260" s="6">
        <v>45110</v>
      </c>
      <c r="N260" s="4" t="s">
        <v>73</v>
      </c>
      <c r="O260" s="6">
        <v>45055</v>
      </c>
      <c r="P260" s="11">
        <v>45313</v>
      </c>
      <c r="Q260" s="9">
        <f ca="1">IF(P260="",TODAY()-O260,P260-O260)</f>
        <v>258</v>
      </c>
      <c r="R260" s="4" t="s">
        <v>41</v>
      </c>
      <c r="S260" s="5" t="s">
        <v>26</v>
      </c>
      <c r="T260" s="4" t="s">
        <v>425</v>
      </c>
      <c r="U260" s="5" t="s">
        <v>29</v>
      </c>
      <c r="V260" s="4">
        <v>932</v>
      </c>
      <c r="W260" s="5" t="s">
        <v>39</v>
      </c>
      <c r="X260" s="38" t="s">
        <v>2082</v>
      </c>
      <c r="Y260" s="44">
        <v>45110</v>
      </c>
      <c r="Z260" s="7" t="s">
        <v>2083</v>
      </c>
    </row>
    <row r="261" spans="1:26" x14ac:dyDescent="0.25">
      <c r="A261" s="7" t="s">
        <v>1904</v>
      </c>
      <c r="B261" s="7" t="s">
        <v>1071</v>
      </c>
      <c r="C261" s="5" t="s">
        <v>12</v>
      </c>
      <c r="D261" s="4" t="s">
        <v>17</v>
      </c>
      <c r="E261" s="5" t="s">
        <v>24</v>
      </c>
      <c r="F261" s="4" t="s">
        <v>824</v>
      </c>
      <c r="G261" s="9" t="s">
        <v>51</v>
      </c>
      <c r="H261" s="32">
        <v>45113</v>
      </c>
      <c r="I261" s="33">
        <v>45134</v>
      </c>
      <c r="J261" s="4" t="s">
        <v>101</v>
      </c>
      <c r="K261" s="6">
        <v>45167</v>
      </c>
      <c r="L261" s="56"/>
      <c r="M261" s="56"/>
      <c r="N261" s="4" t="s">
        <v>73</v>
      </c>
      <c r="O261" s="6">
        <v>45055</v>
      </c>
      <c r="Q261" s="9">
        <f ca="1">IF(P261="",TODAY()-O261,P261-O261)</f>
        <v>514</v>
      </c>
      <c r="S261" s="5" t="s">
        <v>28</v>
      </c>
      <c r="T261" s="4" t="s">
        <v>425</v>
      </c>
      <c r="U261" s="5" t="s">
        <v>29</v>
      </c>
      <c r="V261" s="4">
        <v>950</v>
      </c>
      <c r="W261" s="5" t="s">
        <v>39</v>
      </c>
    </row>
    <row r="262" spans="1:26" x14ac:dyDescent="0.25">
      <c r="A262" s="7" t="s">
        <v>2446</v>
      </c>
      <c r="B262" s="7" t="s">
        <v>1071</v>
      </c>
      <c r="C262" s="5" t="s">
        <v>12</v>
      </c>
      <c r="D262" s="4" t="s">
        <v>17</v>
      </c>
      <c r="E262" s="5" t="s">
        <v>24</v>
      </c>
      <c r="F262" s="4" t="s">
        <v>824</v>
      </c>
      <c r="G262" s="9" t="s">
        <v>51</v>
      </c>
      <c r="H262" s="32">
        <v>45113</v>
      </c>
      <c r="I262" s="33">
        <v>45134</v>
      </c>
      <c r="J262" s="4" t="s">
        <v>101</v>
      </c>
      <c r="K262" s="6">
        <v>45167</v>
      </c>
      <c r="L262" s="56"/>
      <c r="M262" s="56"/>
      <c r="N262" s="4" t="s">
        <v>73</v>
      </c>
      <c r="O262" s="6">
        <v>45055</v>
      </c>
      <c r="P262" s="11">
        <v>45293</v>
      </c>
      <c r="Q262" s="9">
        <f ca="1">IF(P262="",TODAY()-O262,P262-O262)</f>
        <v>238</v>
      </c>
      <c r="R262" s="4" t="s">
        <v>41</v>
      </c>
      <c r="S262" s="5" t="s">
        <v>28</v>
      </c>
      <c r="T262" s="4" t="s">
        <v>425</v>
      </c>
      <c r="U262" s="5" t="s">
        <v>29</v>
      </c>
      <c r="V262" s="65">
        <v>951</v>
      </c>
      <c r="W262" s="5" t="s">
        <v>39</v>
      </c>
      <c r="X262" s="38" t="s">
        <v>2587</v>
      </c>
      <c r="Y262" s="44">
        <v>45167</v>
      </c>
      <c r="Z262" s="7" t="s">
        <v>2445</v>
      </c>
    </row>
    <row r="263" spans="1:26" x14ac:dyDescent="0.25">
      <c r="A263" s="7" t="s">
        <v>2162</v>
      </c>
      <c r="B263" s="7" t="s">
        <v>1071</v>
      </c>
      <c r="C263" s="5" t="s">
        <v>12</v>
      </c>
      <c r="D263" s="4" t="s">
        <v>17</v>
      </c>
      <c r="E263" s="5" t="s">
        <v>25</v>
      </c>
      <c r="F263" s="4" t="s">
        <v>824</v>
      </c>
      <c r="G263" s="9" t="s">
        <v>51</v>
      </c>
      <c r="H263" s="32">
        <v>45113</v>
      </c>
      <c r="I263" s="33">
        <v>45134</v>
      </c>
      <c r="J263" s="4" t="s">
        <v>101</v>
      </c>
      <c r="K263" s="6">
        <v>45182</v>
      </c>
      <c r="N263" s="4" t="s">
        <v>73</v>
      </c>
      <c r="O263" s="6">
        <v>45055</v>
      </c>
      <c r="P263" s="11">
        <v>45271</v>
      </c>
      <c r="Q263" s="9">
        <f ca="1">IF(P263="",TODAY()-O263,P263-O263)</f>
        <v>216</v>
      </c>
      <c r="R263" s="4" t="s">
        <v>41</v>
      </c>
      <c r="S263" s="5" t="s">
        <v>28</v>
      </c>
      <c r="T263" s="4" t="s">
        <v>425</v>
      </c>
      <c r="U263" s="5" t="s">
        <v>29</v>
      </c>
      <c r="V263" s="4">
        <v>952</v>
      </c>
      <c r="W263" s="5" t="s">
        <v>39</v>
      </c>
      <c r="X263" s="38" t="s">
        <v>2161</v>
      </c>
      <c r="Y263" s="44">
        <v>45182</v>
      </c>
    </row>
    <row r="264" spans="1:26" x14ac:dyDescent="0.25">
      <c r="A264" s="7" t="s">
        <v>823</v>
      </c>
      <c r="B264" s="7" t="s">
        <v>1071</v>
      </c>
      <c r="C264" s="5" t="s">
        <v>12</v>
      </c>
      <c r="D264" s="4" t="s">
        <v>14</v>
      </c>
      <c r="F264" s="4" t="s">
        <v>824</v>
      </c>
      <c r="G264" s="9" t="s">
        <v>51</v>
      </c>
      <c r="H264" s="32">
        <v>45113</v>
      </c>
      <c r="I264" s="33">
        <v>45134</v>
      </c>
      <c r="J264" s="4" t="s">
        <v>101</v>
      </c>
      <c r="N264" s="4" t="s">
        <v>73</v>
      </c>
      <c r="O264" s="6">
        <v>45055</v>
      </c>
      <c r="Q264" s="9">
        <f ca="1">IF(P264="",TODAY()-O264,P264-O264)</f>
        <v>514</v>
      </c>
      <c r="S264" s="5" t="s">
        <v>28</v>
      </c>
      <c r="T264" s="4" t="s">
        <v>425</v>
      </c>
      <c r="U264" s="5" t="s">
        <v>29</v>
      </c>
      <c r="V264" s="4">
        <v>953</v>
      </c>
      <c r="W264" s="5" t="s">
        <v>39</v>
      </c>
    </row>
    <row r="265" spans="1:26" x14ac:dyDescent="0.25">
      <c r="A265" s="7" t="s">
        <v>825</v>
      </c>
      <c r="B265" s="7" t="s">
        <v>1071</v>
      </c>
      <c r="C265" s="5" t="s">
        <v>12</v>
      </c>
      <c r="E265" s="5" t="s">
        <v>23</v>
      </c>
      <c r="F265" s="4" t="s">
        <v>384</v>
      </c>
      <c r="O265" s="6">
        <v>45056</v>
      </c>
      <c r="P265" s="11">
        <v>45056</v>
      </c>
      <c r="Q265" s="9">
        <f ca="1">IF(P265="",TODAY()-O265,P265-O265)</f>
        <v>0</v>
      </c>
      <c r="S265" s="5" t="s">
        <v>28</v>
      </c>
      <c r="U265" s="5" t="s">
        <v>32</v>
      </c>
      <c r="W265" s="5" t="s">
        <v>148</v>
      </c>
      <c r="Z265" s="7" t="s">
        <v>826</v>
      </c>
    </row>
    <row r="266" spans="1:26" x14ac:dyDescent="0.25">
      <c r="A266" s="7" t="s">
        <v>2677</v>
      </c>
      <c r="B266" s="7" t="s">
        <v>1071</v>
      </c>
      <c r="C266" s="5" t="s">
        <v>12</v>
      </c>
      <c r="D266" s="4" t="s">
        <v>16</v>
      </c>
      <c r="E266" s="5" t="s">
        <v>23</v>
      </c>
      <c r="F266" s="4" t="s">
        <v>591</v>
      </c>
      <c r="G266" s="9" t="s">
        <v>51</v>
      </c>
      <c r="H266" s="32">
        <v>45240</v>
      </c>
      <c r="I266" s="33">
        <v>45261</v>
      </c>
      <c r="J266" s="4" t="s">
        <v>102</v>
      </c>
      <c r="N266" s="4" t="s">
        <v>73</v>
      </c>
      <c r="O266" s="6">
        <v>45056</v>
      </c>
      <c r="P266" s="11">
        <v>45537</v>
      </c>
      <c r="Q266" s="9">
        <f ca="1">IF(P266="",TODAY()-O266,P266-O266)</f>
        <v>481</v>
      </c>
      <c r="R266" s="4" t="s">
        <v>41</v>
      </c>
      <c r="S266" s="5" t="s">
        <v>26</v>
      </c>
      <c r="T266" s="4" t="s">
        <v>840</v>
      </c>
      <c r="U266" s="5" t="s">
        <v>29</v>
      </c>
      <c r="V266" s="4">
        <v>933</v>
      </c>
      <c r="W266" s="5" t="s">
        <v>39</v>
      </c>
      <c r="X266" s="38" t="s">
        <v>2678</v>
      </c>
    </row>
    <row r="267" spans="1:26" x14ac:dyDescent="0.25">
      <c r="A267" s="7" t="s">
        <v>1303</v>
      </c>
      <c r="B267" s="7" t="s">
        <v>1071</v>
      </c>
      <c r="C267" s="5" t="s">
        <v>12</v>
      </c>
      <c r="D267" s="4" t="s">
        <v>20</v>
      </c>
      <c r="E267" s="5" t="s">
        <v>22</v>
      </c>
      <c r="F267" s="4" t="s">
        <v>843</v>
      </c>
      <c r="N267" s="4" t="s">
        <v>73</v>
      </c>
      <c r="O267" s="6">
        <v>45056</v>
      </c>
      <c r="P267" s="11">
        <v>45117</v>
      </c>
      <c r="Q267" s="9">
        <f ca="1">IF(P267="",TODAY()-O267,P267-O267)</f>
        <v>61</v>
      </c>
      <c r="R267" s="4" t="s">
        <v>42</v>
      </c>
      <c r="S267" s="5" t="s">
        <v>28</v>
      </c>
      <c r="T267" s="4" t="s">
        <v>840</v>
      </c>
      <c r="U267" s="5" t="s">
        <v>29</v>
      </c>
      <c r="V267" s="4">
        <v>933.1</v>
      </c>
      <c r="W267" s="5" t="s">
        <v>39</v>
      </c>
      <c r="Z267" s="7" t="s">
        <v>1268</v>
      </c>
    </row>
    <row r="268" spans="1:26" x14ac:dyDescent="0.25">
      <c r="A268" s="7" t="s">
        <v>1304</v>
      </c>
      <c r="B268" s="7" t="s">
        <v>1071</v>
      </c>
      <c r="C268" s="5" t="s">
        <v>12</v>
      </c>
      <c r="D268" s="4" t="s">
        <v>16</v>
      </c>
      <c r="E268" s="5" t="s">
        <v>2227</v>
      </c>
      <c r="F268" s="4" t="s">
        <v>843</v>
      </c>
      <c r="G268" s="9" t="s">
        <v>51</v>
      </c>
      <c r="H268" s="32">
        <v>45195</v>
      </c>
      <c r="I268" s="33">
        <v>45217</v>
      </c>
      <c r="J268" s="4" t="s">
        <v>102</v>
      </c>
      <c r="N268" s="4" t="s">
        <v>73</v>
      </c>
      <c r="O268" s="6">
        <v>45056</v>
      </c>
      <c r="P268" s="11">
        <v>45537</v>
      </c>
      <c r="Q268" s="9">
        <f ca="1">IF(P268="",TODAY()-O268,P268-O268)</f>
        <v>481</v>
      </c>
      <c r="R268" s="4" t="s">
        <v>41</v>
      </c>
      <c r="S268" s="5" t="s">
        <v>28</v>
      </c>
      <c r="T268" s="4" t="s">
        <v>840</v>
      </c>
      <c r="U268" s="5" t="s">
        <v>29</v>
      </c>
      <c r="V268" s="4">
        <v>933.2</v>
      </c>
      <c r="W268" s="5" t="s">
        <v>39</v>
      </c>
      <c r="X268" s="38" t="s">
        <v>2681</v>
      </c>
      <c r="Y268" s="44">
        <v>45195</v>
      </c>
    </row>
    <row r="269" spans="1:26" x14ac:dyDescent="0.25">
      <c r="A269" s="7" t="s">
        <v>2679</v>
      </c>
      <c r="B269" s="7" t="s">
        <v>1071</v>
      </c>
      <c r="C269" s="5" t="s">
        <v>12</v>
      </c>
      <c r="D269" s="4" t="s">
        <v>16</v>
      </c>
      <c r="E269" s="5" t="s">
        <v>24</v>
      </c>
      <c r="F269" s="4" t="s">
        <v>843</v>
      </c>
      <c r="G269" s="9" t="s">
        <v>51</v>
      </c>
      <c r="H269" s="32">
        <v>45188</v>
      </c>
      <c r="I269" s="33">
        <v>45209</v>
      </c>
      <c r="J269" s="4" t="s">
        <v>102</v>
      </c>
      <c r="N269" s="4" t="s">
        <v>73</v>
      </c>
      <c r="O269" s="6">
        <v>45056</v>
      </c>
      <c r="P269" s="11">
        <v>45537</v>
      </c>
      <c r="Q269" s="9">
        <f ca="1">IF(P269="",TODAY()-O269,P269-O269)</f>
        <v>481</v>
      </c>
      <c r="R269" s="4" t="s">
        <v>41</v>
      </c>
      <c r="S269" s="5" t="s">
        <v>28</v>
      </c>
      <c r="T269" s="4" t="s">
        <v>840</v>
      </c>
      <c r="U269" s="5" t="s">
        <v>29</v>
      </c>
      <c r="V269" s="4">
        <v>933.3</v>
      </c>
      <c r="W269" s="5" t="s">
        <v>39</v>
      </c>
      <c r="X269" s="38" t="s">
        <v>2682</v>
      </c>
      <c r="Y269" s="44">
        <v>45188</v>
      </c>
      <c r="Z269" s="7" t="s">
        <v>1305</v>
      </c>
    </row>
    <row r="270" spans="1:26" x14ac:dyDescent="0.25">
      <c r="A270" s="7" t="s">
        <v>2684</v>
      </c>
      <c r="B270" s="7" t="s">
        <v>1071</v>
      </c>
      <c r="C270" s="5" t="s">
        <v>12</v>
      </c>
      <c r="D270" s="4" t="s">
        <v>311</v>
      </c>
      <c r="E270" s="5" t="s">
        <v>2227</v>
      </c>
      <c r="F270" s="4" t="s">
        <v>843</v>
      </c>
      <c r="G270" s="9" t="s">
        <v>51</v>
      </c>
      <c r="H270" s="32">
        <v>45195</v>
      </c>
      <c r="I270" s="33">
        <v>45217</v>
      </c>
      <c r="J270" s="4" t="s">
        <v>102</v>
      </c>
      <c r="N270" s="4" t="s">
        <v>73</v>
      </c>
      <c r="O270" s="6">
        <v>45056</v>
      </c>
      <c r="P270" s="11">
        <v>45537</v>
      </c>
      <c r="Q270" s="9">
        <f ca="1">IF(P270="",TODAY()-O270,P270-O270)</f>
        <v>481</v>
      </c>
      <c r="R270" s="4" t="s">
        <v>41</v>
      </c>
      <c r="S270" s="5" t="s">
        <v>28</v>
      </c>
      <c r="T270" s="4" t="s">
        <v>840</v>
      </c>
      <c r="U270" s="5" t="s">
        <v>29</v>
      </c>
      <c r="V270" s="4">
        <v>933.4</v>
      </c>
      <c r="W270" s="5" t="s">
        <v>39</v>
      </c>
      <c r="X270" s="38" t="s">
        <v>2683</v>
      </c>
      <c r="Y270" s="44">
        <v>45195</v>
      </c>
    </row>
    <row r="271" spans="1:26" x14ac:dyDescent="0.25">
      <c r="A271" s="7" t="s">
        <v>2680</v>
      </c>
      <c r="B271" s="7" t="s">
        <v>1071</v>
      </c>
      <c r="C271" s="5" t="s">
        <v>12</v>
      </c>
      <c r="D271" s="4" t="s">
        <v>311</v>
      </c>
      <c r="E271" s="5" t="s">
        <v>2227</v>
      </c>
      <c r="F271" s="4" t="s">
        <v>843</v>
      </c>
      <c r="N271" s="4" t="s">
        <v>73</v>
      </c>
      <c r="O271" s="6">
        <v>45056</v>
      </c>
      <c r="P271" s="11">
        <v>45117</v>
      </c>
      <c r="Q271" s="9">
        <f ca="1">IF(P271="",TODAY()-O271,P271-O271)</f>
        <v>61</v>
      </c>
      <c r="R271" s="4" t="s">
        <v>42</v>
      </c>
      <c r="S271" s="5" t="s">
        <v>28</v>
      </c>
      <c r="T271" s="4" t="s">
        <v>840</v>
      </c>
      <c r="U271" s="5" t="s">
        <v>29</v>
      </c>
      <c r="V271" s="4">
        <v>933.5</v>
      </c>
      <c r="W271" s="5" t="s">
        <v>39</v>
      </c>
    </row>
    <row r="272" spans="1:26" x14ac:dyDescent="0.25">
      <c r="A272" s="7" t="s">
        <v>829</v>
      </c>
      <c r="C272" s="5" t="s">
        <v>12</v>
      </c>
      <c r="D272" s="4" t="s">
        <v>311</v>
      </c>
      <c r="E272" s="5" t="s">
        <v>24</v>
      </c>
      <c r="F272" s="4" t="s">
        <v>830</v>
      </c>
      <c r="G272" s="9" t="s">
        <v>50</v>
      </c>
      <c r="H272" s="32">
        <v>45058</v>
      </c>
      <c r="I272" s="33">
        <v>45084</v>
      </c>
      <c r="J272" s="4" t="s">
        <v>101</v>
      </c>
      <c r="K272" s="6">
        <v>45058</v>
      </c>
      <c r="L272" s="56"/>
      <c r="M272" s="56"/>
      <c r="N272" s="4" t="s">
        <v>73</v>
      </c>
      <c r="O272" s="6">
        <v>45057</v>
      </c>
      <c r="P272" s="11">
        <v>45092</v>
      </c>
      <c r="Q272" s="9">
        <f ca="1">IF(P272="",TODAY()-O272,P272-O272)</f>
        <v>35</v>
      </c>
      <c r="R272" s="4" t="s">
        <v>41</v>
      </c>
      <c r="S272" s="5" t="s">
        <v>121</v>
      </c>
      <c r="T272" s="4" t="s">
        <v>955</v>
      </c>
      <c r="U272" s="5" t="s">
        <v>29</v>
      </c>
      <c r="V272" s="4">
        <v>929</v>
      </c>
      <c r="W272" s="5" t="s">
        <v>39</v>
      </c>
      <c r="X272" s="38" t="s">
        <v>832</v>
      </c>
      <c r="Z272" s="7" t="s">
        <v>1007</v>
      </c>
    </row>
    <row r="273" spans="1:26" x14ac:dyDescent="0.25">
      <c r="A273" s="7" t="s">
        <v>827</v>
      </c>
      <c r="B273" s="7" t="s">
        <v>1071</v>
      </c>
      <c r="C273" s="5" t="s">
        <v>12</v>
      </c>
      <c r="D273" s="4" t="s">
        <v>17</v>
      </c>
      <c r="E273" s="5" t="s">
        <v>25</v>
      </c>
      <c r="F273" s="4" t="s">
        <v>596</v>
      </c>
      <c r="G273" s="9" t="s">
        <v>50</v>
      </c>
      <c r="H273" s="32">
        <v>45138</v>
      </c>
      <c r="J273" s="4" t="s">
        <v>101</v>
      </c>
      <c r="K273" s="6">
        <v>45138</v>
      </c>
      <c r="L273" s="56"/>
      <c r="M273" s="56"/>
      <c r="N273" s="4" t="s">
        <v>73</v>
      </c>
      <c r="O273" s="6">
        <v>45057</v>
      </c>
      <c r="Q273" s="9">
        <f ca="1">IF(P273="",TODAY()-O273,P273-O273)</f>
        <v>512</v>
      </c>
      <c r="S273" s="5" t="s">
        <v>26</v>
      </c>
      <c r="T273" s="4" t="s">
        <v>112</v>
      </c>
      <c r="U273" s="5" t="s">
        <v>29</v>
      </c>
      <c r="V273" s="4">
        <v>967</v>
      </c>
      <c r="W273" s="5" t="s">
        <v>39</v>
      </c>
      <c r="X273" s="38" t="s">
        <v>1400</v>
      </c>
      <c r="Z273" s="7" t="s">
        <v>1401</v>
      </c>
    </row>
    <row r="274" spans="1:26" x14ac:dyDescent="0.25">
      <c r="A274" s="7" t="s">
        <v>1596</v>
      </c>
      <c r="B274" s="7" t="s">
        <v>1071</v>
      </c>
      <c r="C274" s="5" t="s">
        <v>12</v>
      </c>
      <c r="D274" s="4" t="s">
        <v>17</v>
      </c>
      <c r="E274" s="5" t="s">
        <v>23</v>
      </c>
      <c r="F274" s="4" t="s">
        <v>828</v>
      </c>
      <c r="G274" s="9" t="s">
        <v>51</v>
      </c>
      <c r="H274" s="32">
        <v>45128</v>
      </c>
      <c r="I274" s="33">
        <v>45160</v>
      </c>
      <c r="J274" s="4" t="s">
        <v>102</v>
      </c>
      <c r="N274" s="4" t="s">
        <v>73</v>
      </c>
      <c r="O274" s="6">
        <v>45058</v>
      </c>
      <c r="P274" s="11">
        <v>45173</v>
      </c>
      <c r="Q274" s="9">
        <f ca="1">IF(P274="",TODAY()-O274,P274-O274)</f>
        <v>115</v>
      </c>
      <c r="R274" s="4" t="s">
        <v>41</v>
      </c>
      <c r="S274" s="5" t="s">
        <v>28</v>
      </c>
      <c r="T274" s="4" t="s">
        <v>1441</v>
      </c>
      <c r="U274" s="5" t="s">
        <v>33</v>
      </c>
      <c r="W274" s="5" t="s">
        <v>39</v>
      </c>
      <c r="X274" s="38" t="s">
        <v>1597</v>
      </c>
      <c r="Z274" s="7" t="s">
        <v>1448</v>
      </c>
    </row>
    <row r="275" spans="1:26" x14ac:dyDescent="0.25">
      <c r="A275" s="7" t="s">
        <v>1614</v>
      </c>
      <c r="B275" s="7" t="s">
        <v>1071</v>
      </c>
      <c r="C275" s="5" t="s">
        <v>12</v>
      </c>
      <c r="D275" s="4" t="s">
        <v>17</v>
      </c>
      <c r="E275" s="5" t="s">
        <v>23</v>
      </c>
      <c r="F275" s="4" t="s">
        <v>828</v>
      </c>
      <c r="G275" s="9" t="s">
        <v>51</v>
      </c>
      <c r="H275" s="32">
        <v>45128</v>
      </c>
      <c r="I275" s="33">
        <v>45160</v>
      </c>
      <c r="J275" s="4" t="s">
        <v>102</v>
      </c>
      <c r="N275" s="4" t="s">
        <v>73</v>
      </c>
      <c r="O275" s="6">
        <v>45058</v>
      </c>
      <c r="P275" s="11">
        <v>45182</v>
      </c>
      <c r="Q275" s="9">
        <f ca="1">IF(P275="",TODAY()-O275,P275-O275)</f>
        <v>124</v>
      </c>
      <c r="R275" s="4" t="s">
        <v>41</v>
      </c>
      <c r="S275" s="5" t="s">
        <v>28</v>
      </c>
      <c r="T275" s="4" t="s">
        <v>1441</v>
      </c>
      <c r="U275" s="5" t="s">
        <v>33</v>
      </c>
      <c r="W275" s="5" t="s">
        <v>39</v>
      </c>
      <c r="X275" s="38" t="s">
        <v>1615</v>
      </c>
      <c r="Z275" s="7" t="s">
        <v>1448</v>
      </c>
    </row>
    <row r="276" spans="1:26" x14ac:dyDescent="0.25">
      <c r="A276" s="7" t="s">
        <v>1600</v>
      </c>
      <c r="B276" s="7" t="s">
        <v>1071</v>
      </c>
      <c r="C276" s="5" t="s">
        <v>12</v>
      </c>
      <c r="D276" s="4" t="s">
        <v>311</v>
      </c>
      <c r="E276" s="5" t="s">
        <v>22</v>
      </c>
      <c r="F276" s="4" t="s">
        <v>828</v>
      </c>
      <c r="G276" s="9" t="s">
        <v>51</v>
      </c>
      <c r="H276" s="32">
        <v>45128</v>
      </c>
      <c r="I276" s="33">
        <v>45160</v>
      </c>
      <c r="J276" s="4" t="s">
        <v>102</v>
      </c>
      <c r="N276" s="4" t="s">
        <v>73</v>
      </c>
      <c r="O276" s="6">
        <v>45058</v>
      </c>
      <c r="P276" s="11">
        <v>45165</v>
      </c>
      <c r="Q276" s="9">
        <f ca="1">IF(P276="",TODAY()-O276,P276-O276)</f>
        <v>107</v>
      </c>
      <c r="R276" s="4" t="s">
        <v>41</v>
      </c>
      <c r="S276" s="5" t="s">
        <v>28</v>
      </c>
      <c r="T276" s="4" t="s">
        <v>1441</v>
      </c>
      <c r="U276" s="5" t="s">
        <v>33</v>
      </c>
      <c r="W276" s="5" t="s">
        <v>39</v>
      </c>
      <c r="X276" s="38" t="s">
        <v>1601</v>
      </c>
      <c r="Y276" s="44">
        <v>45160</v>
      </c>
      <c r="Z276" s="7" t="s">
        <v>1448</v>
      </c>
    </row>
    <row r="277" spans="1:26" x14ac:dyDescent="0.25">
      <c r="A277" s="7" t="s">
        <v>1602</v>
      </c>
      <c r="B277" s="7" t="s">
        <v>1071</v>
      </c>
      <c r="C277" s="5" t="s">
        <v>12</v>
      </c>
      <c r="D277" s="4" t="s">
        <v>16</v>
      </c>
      <c r="E277" s="5" t="s">
        <v>22</v>
      </c>
      <c r="F277" s="4" t="s">
        <v>828</v>
      </c>
      <c r="G277" s="9" t="s">
        <v>51</v>
      </c>
      <c r="H277" s="32">
        <v>45128</v>
      </c>
      <c r="I277" s="33">
        <v>45160</v>
      </c>
      <c r="J277" s="4" t="s">
        <v>102</v>
      </c>
      <c r="N277" s="4" t="s">
        <v>73</v>
      </c>
      <c r="O277" s="6">
        <v>45058</v>
      </c>
      <c r="P277" s="11">
        <v>45165</v>
      </c>
      <c r="Q277" s="9">
        <f ca="1">IF(P277="",TODAY()-O277,P277-O277)</f>
        <v>107</v>
      </c>
      <c r="R277" s="4" t="s">
        <v>41</v>
      </c>
      <c r="S277" s="5" t="s">
        <v>28</v>
      </c>
      <c r="T277" s="4" t="s">
        <v>1441</v>
      </c>
      <c r="U277" s="5" t="s">
        <v>33</v>
      </c>
      <c r="W277" s="5" t="s">
        <v>39</v>
      </c>
      <c r="X277" s="38" t="s">
        <v>1603</v>
      </c>
      <c r="Y277" s="44">
        <v>45160</v>
      </c>
      <c r="Z277" s="7" t="s">
        <v>1448</v>
      </c>
    </row>
    <row r="278" spans="1:26" x14ac:dyDescent="0.25">
      <c r="A278" s="7" t="s">
        <v>841</v>
      </c>
      <c r="C278" s="5" t="s">
        <v>12</v>
      </c>
      <c r="D278" s="4" t="s">
        <v>20</v>
      </c>
      <c r="E278" s="5" t="s">
        <v>22</v>
      </c>
      <c r="F278" s="4" t="s">
        <v>384</v>
      </c>
      <c r="N278" s="4" t="s">
        <v>73</v>
      </c>
      <c r="O278" s="6">
        <v>45059</v>
      </c>
      <c r="P278" s="11">
        <v>45060</v>
      </c>
      <c r="Q278" s="9">
        <f ca="1">IF(P278="",TODAY()-O278,P278-O278)</f>
        <v>1</v>
      </c>
      <c r="R278" s="4" t="s">
        <v>43</v>
      </c>
      <c r="S278" s="5" t="s">
        <v>631</v>
      </c>
      <c r="T278" s="4" t="s">
        <v>38</v>
      </c>
      <c r="W278" s="5" t="s">
        <v>38</v>
      </c>
      <c r="Z278" s="7" t="s">
        <v>842</v>
      </c>
    </row>
    <row r="279" spans="1:26" x14ac:dyDescent="0.25">
      <c r="A279" s="7" t="s">
        <v>2709</v>
      </c>
      <c r="B279" s="7" t="s">
        <v>1071</v>
      </c>
      <c r="C279" s="5" t="s">
        <v>12</v>
      </c>
      <c r="D279" s="4" t="s">
        <v>20</v>
      </c>
      <c r="E279" s="5" t="s">
        <v>25</v>
      </c>
      <c r="F279" s="4" t="s">
        <v>384</v>
      </c>
      <c r="K279" s="6">
        <v>45117</v>
      </c>
      <c r="L279" s="56"/>
      <c r="M279" s="56"/>
      <c r="N279" s="4" t="s">
        <v>73</v>
      </c>
      <c r="O279" s="6">
        <v>45060</v>
      </c>
      <c r="P279" s="11">
        <v>45124</v>
      </c>
      <c r="Q279" s="9">
        <f ca="1">IF(P279="",TODAY()-O279,P279-O279)</f>
        <v>64</v>
      </c>
      <c r="R279" s="4" t="s">
        <v>896</v>
      </c>
      <c r="S279" s="5" t="s">
        <v>631</v>
      </c>
      <c r="T279" s="4" t="s">
        <v>38</v>
      </c>
      <c r="U279" s="5" t="s">
        <v>30</v>
      </c>
      <c r="W279" s="5" t="s">
        <v>38</v>
      </c>
      <c r="Z279" s="7" t="s">
        <v>847</v>
      </c>
    </row>
    <row r="280" spans="1:26" x14ac:dyDescent="0.25">
      <c r="A280" s="7" t="s">
        <v>2710</v>
      </c>
      <c r="B280" s="7" t="s">
        <v>1071</v>
      </c>
      <c r="C280" s="5" t="s">
        <v>12</v>
      </c>
      <c r="D280" s="4" t="s">
        <v>20</v>
      </c>
      <c r="F280" s="4" t="s">
        <v>846</v>
      </c>
      <c r="N280" s="4" t="s">
        <v>73</v>
      </c>
      <c r="O280" s="6">
        <v>45060</v>
      </c>
      <c r="P280" s="11">
        <v>45071</v>
      </c>
      <c r="Q280" s="9">
        <f ca="1">IF(P280="",TODAY()-O280,P280-O280)</f>
        <v>11</v>
      </c>
      <c r="R280" s="4" t="s">
        <v>43</v>
      </c>
      <c r="S280" s="5" t="s">
        <v>28</v>
      </c>
      <c r="T280" s="4" t="s">
        <v>38</v>
      </c>
      <c r="W280" s="5" t="s">
        <v>38</v>
      </c>
    </row>
    <row r="281" spans="1:26" x14ac:dyDescent="0.25">
      <c r="A281" s="7" t="s">
        <v>2711</v>
      </c>
      <c r="B281" s="7" t="s">
        <v>1071</v>
      </c>
      <c r="C281" s="5" t="s">
        <v>12</v>
      </c>
      <c r="D281" s="4" t="s">
        <v>20</v>
      </c>
      <c r="F281" s="4" t="s">
        <v>846</v>
      </c>
      <c r="N281" s="4" t="s">
        <v>73</v>
      </c>
      <c r="O281" s="6">
        <v>45060</v>
      </c>
      <c r="P281" s="11">
        <v>45102</v>
      </c>
      <c r="Q281" s="9">
        <f ca="1">IF(P281="",TODAY()-O281,P281-O281)</f>
        <v>42</v>
      </c>
      <c r="R281" s="4" t="s">
        <v>43</v>
      </c>
      <c r="S281" s="5" t="s">
        <v>28</v>
      </c>
      <c r="T281" s="4" t="s">
        <v>38</v>
      </c>
      <c r="W281" s="5" t="s">
        <v>38</v>
      </c>
      <c r="Z281" s="7" t="s">
        <v>1162</v>
      </c>
    </row>
    <row r="282" spans="1:26" x14ac:dyDescent="0.25">
      <c r="A282" s="7" t="s">
        <v>2712</v>
      </c>
      <c r="B282" s="7" t="s">
        <v>1071</v>
      </c>
      <c r="C282" s="5" t="s">
        <v>12</v>
      </c>
      <c r="D282" s="4" t="s">
        <v>20</v>
      </c>
      <c r="F282" s="4" t="s">
        <v>846</v>
      </c>
      <c r="N282" s="4" t="s">
        <v>73</v>
      </c>
      <c r="O282" s="6">
        <v>45060</v>
      </c>
      <c r="P282" s="11">
        <v>45117</v>
      </c>
      <c r="Q282" s="9">
        <f ca="1">IF(P282="",TODAY()-O282,P282-O282)</f>
        <v>57</v>
      </c>
      <c r="R282" s="4" t="s">
        <v>42</v>
      </c>
      <c r="S282" s="5" t="s">
        <v>28</v>
      </c>
      <c r="U282" s="5" t="s">
        <v>30</v>
      </c>
      <c r="W282" s="5" t="s">
        <v>38</v>
      </c>
      <c r="Z282" s="7" t="s">
        <v>1298</v>
      </c>
    </row>
    <row r="283" spans="1:26" x14ac:dyDescent="0.25">
      <c r="A283" s="7" t="s">
        <v>844</v>
      </c>
      <c r="C283" s="5" t="s">
        <v>12</v>
      </c>
      <c r="E283" s="5" t="s">
        <v>25</v>
      </c>
      <c r="F283" s="4" t="s">
        <v>384</v>
      </c>
      <c r="K283" s="6">
        <v>45061</v>
      </c>
      <c r="L283" s="56"/>
      <c r="M283" s="56"/>
      <c r="O283" s="6">
        <v>45061</v>
      </c>
      <c r="P283" s="11">
        <v>45061</v>
      </c>
      <c r="Q283" s="9">
        <f ca="1">IF(P283="",TODAY()-O283,P283-O283)</f>
        <v>0</v>
      </c>
      <c r="R283" s="4" t="s">
        <v>257</v>
      </c>
      <c r="S283" s="5" t="s">
        <v>28</v>
      </c>
      <c r="T283" s="4" t="s">
        <v>38</v>
      </c>
      <c r="U283" s="5" t="s">
        <v>29</v>
      </c>
      <c r="W283" s="5" t="s">
        <v>38</v>
      </c>
      <c r="Z283" s="7" t="s">
        <v>845</v>
      </c>
    </row>
    <row r="284" spans="1:26" x14ac:dyDescent="0.25">
      <c r="A284" s="7" t="s">
        <v>848</v>
      </c>
      <c r="C284" s="5" t="s">
        <v>12</v>
      </c>
      <c r="D284" s="4" t="s">
        <v>16</v>
      </c>
      <c r="E284" s="5" t="s">
        <v>22</v>
      </c>
      <c r="F284" s="4" t="s">
        <v>384</v>
      </c>
      <c r="N284" s="4" t="s">
        <v>9</v>
      </c>
      <c r="O284" s="6">
        <v>45061</v>
      </c>
      <c r="P284" s="11">
        <v>45061</v>
      </c>
      <c r="Q284" s="9">
        <f ca="1">IF(P284="",TODAY()-O284,P284-O284)</f>
        <v>0</v>
      </c>
      <c r="R284" s="4" t="s">
        <v>42</v>
      </c>
      <c r="S284" s="5" t="s">
        <v>26</v>
      </c>
      <c r="U284" s="5" t="s">
        <v>30</v>
      </c>
      <c r="W284" s="5" t="s">
        <v>38</v>
      </c>
      <c r="Z284" s="7" t="s">
        <v>849</v>
      </c>
    </row>
    <row r="285" spans="1:26" x14ac:dyDescent="0.25">
      <c r="A285" s="7" t="s">
        <v>859</v>
      </c>
      <c r="B285" s="7" t="s">
        <v>1071</v>
      </c>
      <c r="C285" s="5" t="s">
        <v>12</v>
      </c>
      <c r="D285" s="4" t="s">
        <v>14</v>
      </c>
      <c r="E285" s="5" t="s">
        <v>24</v>
      </c>
      <c r="F285" s="4" t="s">
        <v>384</v>
      </c>
      <c r="G285" s="9" t="s">
        <v>51</v>
      </c>
      <c r="H285" s="32">
        <v>45064</v>
      </c>
      <c r="I285" s="33">
        <v>45093</v>
      </c>
      <c r="J285" s="4" t="s">
        <v>503</v>
      </c>
      <c r="K285" s="6">
        <v>45064</v>
      </c>
      <c r="L285" s="56"/>
      <c r="M285" s="56"/>
      <c r="N285" s="4" t="s">
        <v>73</v>
      </c>
      <c r="O285" s="6">
        <v>45061</v>
      </c>
      <c r="P285" s="11">
        <v>45135</v>
      </c>
      <c r="Q285" s="9">
        <f ca="1">IF(P285="",TODAY()-O285,P285-O285)</f>
        <v>74</v>
      </c>
      <c r="R285" s="4" t="s">
        <v>41</v>
      </c>
      <c r="S285" s="5" t="s">
        <v>26</v>
      </c>
      <c r="T285" s="4" t="s">
        <v>199</v>
      </c>
      <c r="U285" s="5" t="s">
        <v>30</v>
      </c>
      <c r="W285" s="5" t="s">
        <v>38</v>
      </c>
      <c r="X285" s="38" t="s">
        <v>860</v>
      </c>
      <c r="Z285" s="7" t="s">
        <v>1623</v>
      </c>
    </row>
    <row r="286" spans="1:26" x14ac:dyDescent="0.25">
      <c r="A286" s="7" t="s">
        <v>850</v>
      </c>
      <c r="B286" s="7" t="s">
        <v>1071</v>
      </c>
      <c r="C286" s="5" t="s">
        <v>12</v>
      </c>
      <c r="D286" s="4" t="s">
        <v>19</v>
      </c>
      <c r="E286" s="5" t="s">
        <v>22</v>
      </c>
      <c r="F286" s="4" t="s">
        <v>853</v>
      </c>
      <c r="G286" s="9" t="s">
        <v>51</v>
      </c>
      <c r="H286" s="32">
        <v>45097</v>
      </c>
      <c r="I286" s="33">
        <v>45127</v>
      </c>
      <c r="J286" s="4" t="s">
        <v>503</v>
      </c>
      <c r="N286" s="4" t="s">
        <v>73</v>
      </c>
      <c r="O286" s="6">
        <v>45062</v>
      </c>
      <c r="P286" s="11">
        <v>45185</v>
      </c>
      <c r="Q286" s="9">
        <f ca="1">IF(P286="",TODAY()-O286,P286-O286)</f>
        <v>123</v>
      </c>
      <c r="R286" s="4" t="s">
        <v>41</v>
      </c>
      <c r="S286" s="5" t="s">
        <v>121</v>
      </c>
      <c r="T286" s="4" t="s">
        <v>38</v>
      </c>
      <c r="U286" s="5" t="s">
        <v>30</v>
      </c>
      <c r="W286" s="5" t="s">
        <v>38</v>
      </c>
      <c r="X286" s="38" t="s">
        <v>1450</v>
      </c>
      <c r="Z286" s="7" t="s">
        <v>1544</v>
      </c>
    </row>
    <row r="287" spans="1:26" x14ac:dyDescent="0.25">
      <c r="A287" s="7" t="s">
        <v>851</v>
      </c>
      <c r="B287" s="7" t="s">
        <v>1071</v>
      </c>
      <c r="C287" s="5" t="s">
        <v>620</v>
      </c>
      <c r="D287" s="4" t="s">
        <v>16</v>
      </c>
      <c r="E287" s="5" t="s">
        <v>23</v>
      </c>
      <c r="F287" s="4" t="s">
        <v>853</v>
      </c>
      <c r="G287" s="9" t="s">
        <v>51</v>
      </c>
      <c r="H287" s="32">
        <v>45097</v>
      </c>
      <c r="I287" s="33">
        <v>45127</v>
      </c>
      <c r="J287" s="4" t="s">
        <v>503</v>
      </c>
      <c r="N287" s="4" t="s">
        <v>73</v>
      </c>
      <c r="O287" s="6">
        <v>45062</v>
      </c>
      <c r="P287" s="11">
        <v>45185</v>
      </c>
      <c r="Q287" s="9">
        <f ca="1">IF(P287="",TODAY()-O287,P287-O287)</f>
        <v>123</v>
      </c>
      <c r="R287" s="4" t="s">
        <v>41</v>
      </c>
      <c r="S287" s="5" t="s">
        <v>121</v>
      </c>
      <c r="T287" s="4" t="s">
        <v>38</v>
      </c>
      <c r="U287" s="5" t="s">
        <v>30</v>
      </c>
      <c r="W287" s="5" t="s">
        <v>38</v>
      </c>
      <c r="X287" s="38" t="s">
        <v>1542</v>
      </c>
      <c r="Z287" s="7" t="s">
        <v>1544</v>
      </c>
    </row>
    <row r="288" spans="1:26" x14ac:dyDescent="0.25">
      <c r="A288" s="7" t="s">
        <v>852</v>
      </c>
      <c r="B288" s="7" t="s">
        <v>1071</v>
      </c>
      <c r="C288" s="5" t="s">
        <v>12</v>
      </c>
      <c r="D288" s="4" t="s">
        <v>16</v>
      </c>
      <c r="E288" s="5" t="s">
        <v>23</v>
      </c>
      <c r="F288" s="4" t="s">
        <v>853</v>
      </c>
      <c r="G288" s="9" t="s">
        <v>51</v>
      </c>
      <c r="H288" s="32">
        <v>45097</v>
      </c>
      <c r="I288" s="33">
        <v>45127</v>
      </c>
      <c r="J288" s="4" t="s">
        <v>503</v>
      </c>
      <c r="N288" s="4" t="s">
        <v>73</v>
      </c>
      <c r="O288" s="6">
        <v>45062</v>
      </c>
      <c r="P288" s="11">
        <v>45185</v>
      </c>
      <c r="Q288" s="9">
        <f ca="1">IF(P288="",TODAY()-O288,P288-O288)</f>
        <v>123</v>
      </c>
      <c r="R288" s="4" t="s">
        <v>41</v>
      </c>
      <c r="S288" s="5" t="s">
        <v>121</v>
      </c>
      <c r="T288" s="4" t="s">
        <v>38</v>
      </c>
      <c r="U288" s="5" t="s">
        <v>30</v>
      </c>
      <c r="W288" s="5" t="s">
        <v>38</v>
      </c>
      <c r="X288" s="38" t="s">
        <v>1543</v>
      </c>
      <c r="Z288" s="7" t="s">
        <v>1544</v>
      </c>
    </row>
    <row r="289" spans="1:26" x14ac:dyDescent="0.25">
      <c r="A289" s="7" t="s">
        <v>861</v>
      </c>
      <c r="C289" s="5" t="s">
        <v>12</v>
      </c>
      <c r="E289" s="5" t="s">
        <v>24</v>
      </c>
      <c r="F289" s="4" t="s">
        <v>384</v>
      </c>
      <c r="K289" s="6">
        <v>45065</v>
      </c>
      <c r="L289" s="56"/>
      <c r="M289" s="56"/>
      <c r="N289" s="4" t="s">
        <v>9</v>
      </c>
      <c r="O289" s="6">
        <v>45064</v>
      </c>
      <c r="Q289" s="9">
        <f ca="1">IF(P289="",TODAY()-O289,P289-O289)</f>
        <v>505</v>
      </c>
      <c r="S289" s="5" t="s">
        <v>631</v>
      </c>
      <c r="T289" s="4" t="s">
        <v>38</v>
      </c>
      <c r="U289" s="5" t="s">
        <v>30</v>
      </c>
      <c r="W289" s="5" t="s">
        <v>38</v>
      </c>
    </row>
    <row r="290" spans="1:26" x14ac:dyDescent="0.25">
      <c r="A290" s="7" t="s">
        <v>862</v>
      </c>
      <c r="C290" s="5" t="s">
        <v>12</v>
      </c>
      <c r="E290" s="5" t="s">
        <v>24</v>
      </c>
      <c r="F290" s="4" t="s">
        <v>384</v>
      </c>
      <c r="K290" s="6">
        <v>45065</v>
      </c>
      <c r="L290" s="56"/>
      <c r="M290" s="56"/>
      <c r="N290" s="4" t="s">
        <v>9</v>
      </c>
      <c r="O290" s="6">
        <v>45064</v>
      </c>
      <c r="Q290" s="9">
        <f ca="1">IF(P290="",TODAY()-O290,P290-O290)</f>
        <v>505</v>
      </c>
      <c r="S290" s="5" t="s">
        <v>631</v>
      </c>
      <c r="T290" s="4" t="s">
        <v>38</v>
      </c>
      <c r="U290" s="5" t="s">
        <v>30</v>
      </c>
      <c r="W290" s="5" t="s">
        <v>38</v>
      </c>
    </row>
    <row r="291" spans="1:26" x14ac:dyDescent="0.25">
      <c r="A291" s="7" t="s">
        <v>863</v>
      </c>
      <c r="C291" s="5" t="s">
        <v>12</v>
      </c>
      <c r="E291" s="5" t="s">
        <v>24</v>
      </c>
      <c r="F291" s="4" t="s">
        <v>384</v>
      </c>
      <c r="K291" s="6">
        <v>45065</v>
      </c>
      <c r="L291" s="56"/>
      <c r="M291" s="56"/>
      <c r="N291" s="4" t="s">
        <v>9</v>
      </c>
      <c r="O291" s="6">
        <v>45064</v>
      </c>
      <c r="Q291" s="9">
        <f ca="1">IF(P291="",TODAY()-O291,P291-O291)</f>
        <v>505</v>
      </c>
      <c r="S291" s="5" t="s">
        <v>631</v>
      </c>
      <c r="T291" s="4" t="s">
        <v>38</v>
      </c>
      <c r="U291" s="5" t="s">
        <v>30</v>
      </c>
      <c r="W291" s="5" t="s">
        <v>38</v>
      </c>
    </row>
    <row r="292" spans="1:26" x14ac:dyDescent="0.25">
      <c r="A292" s="7" t="s">
        <v>873</v>
      </c>
      <c r="B292" s="7" t="s">
        <v>1071</v>
      </c>
      <c r="C292" s="5" t="s">
        <v>620</v>
      </c>
      <c r="D292" s="4" t="s">
        <v>16</v>
      </c>
      <c r="F292" s="4" t="s">
        <v>878</v>
      </c>
      <c r="G292" s="9" t="s">
        <v>50</v>
      </c>
      <c r="H292" s="32">
        <v>45147</v>
      </c>
      <c r="N292" s="4" t="s">
        <v>73</v>
      </c>
      <c r="O292" s="6">
        <v>45065</v>
      </c>
      <c r="P292" s="11">
        <v>45151</v>
      </c>
      <c r="Q292" s="9">
        <f ca="1">IF(P292="",TODAY()-O292,P292-O292)</f>
        <v>86</v>
      </c>
      <c r="R292" s="4" t="s">
        <v>43</v>
      </c>
      <c r="S292" s="5" t="s">
        <v>28</v>
      </c>
      <c r="T292" s="4" t="s">
        <v>112</v>
      </c>
      <c r="U292" s="5" t="s">
        <v>29</v>
      </c>
      <c r="V292" s="4">
        <v>973.1</v>
      </c>
      <c r="W292" s="5" t="s">
        <v>39</v>
      </c>
      <c r="X292" s="38" t="s">
        <v>2405</v>
      </c>
      <c r="Y292" s="44">
        <v>45296</v>
      </c>
    </row>
    <row r="293" spans="1:26" x14ac:dyDescent="0.25">
      <c r="A293" s="7" t="s">
        <v>874</v>
      </c>
      <c r="B293" s="7" t="s">
        <v>1071</v>
      </c>
      <c r="D293" s="4" t="s">
        <v>17</v>
      </c>
      <c r="F293" s="4" t="s">
        <v>878</v>
      </c>
      <c r="H293" s="32">
        <v>45147</v>
      </c>
      <c r="N293" s="4" t="s">
        <v>73</v>
      </c>
      <c r="O293" s="6">
        <v>45065</v>
      </c>
      <c r="P293" s="11">
        <v>45157</v>
      </c>
      <c r="Q293" s="9">
        <f ca="1">IF(P293="",TODAY()-O293,P293-O293)</f>
        <v>92</v>
      </c>
      <c r="R293" s="4" t="s">
        <v>43</v>
      </c>
      <c r="S293" s="5" t="s">
        <v>28</v>
      </c>
      <c r="T293" s="4" t="s">
        <v>112</v>
      </c>
      <c r="U293" s="5" t="s">
        <v>29</v>
      </c>
      <c r="V293" s="4">
        <v>973.2</v>
      </c>
      <c r="W293" s="5" t="s">
        <v>39</v>
      </c>
    </row>
    <row r="294" spans="1:26" x14ac:dyDescent="0.25">
      <c r="A294" s="7" t="s">
        <v>875</v>
      </c>
      <c r="B294" s="7" t="s">
        <v>1071</v>
      </c>
      <c r="D294" s="4" t="s">
        <v>17</v>
      </c>
      <c r="F294" s="4" t="s">
        <v>878</v>
      </c>
      <c r="H294" s="32">
        <v>45147</v>
      </c>
      <c r="N294" s="4" t="s">
        <v>73</v>
      </c>
      <c r="O294" s="6">
        <v>45065</v>
      </c>
      <c r="Q294" s="9">
        <f ca="1">IF(P294="",TODAY()-O294,P294-O294)</f>
        <v>504</v>
      </c>
      <c r="S294" s="5" t="s">
        <v>28</v>
      </c>
      <c r="T294" s="4" t="s">
        <v>112</v>
      </c>
      <c r="U294" s="5" t="s">
        <v>29</v>
      </c>
      <c r="V294" s="4">
        <v>973.3</v>
      </c>
      <c r="W294" s="5" t="s">
        <v>39</v>
      </c>
      <c r="Z294" s="7" t="s">
        <v>1646</v>
      </c>
    </row>
    <row r="295" spans="1:26" x14ac:dyDescent="0.25">
      <c r="A295" s="7" t="s">
        <v>876</v>
      </c>
      <c r="B295" s="7" t="s">
        <v>1071</v>
      </c>
      <c r="D295" s="4" t="s">
        <v>17</v>
      </c>
      <c r="F295" s="4" t="s">
        <v>878</v>
      </c>
      <c r="H295" s="32">
        <v>45147</v>
      </c>
      <c r="N295" s="4" t="s">
        <v>73</v>
      </c>
      <c r="O295" s="6">
        <v>45065</v>
      </c>
      <c r="Q295" s="9">
        <f ca="1">IF(P295="",TODAY()-O295,P295-O295)</f>
        <v>504</v>
      </c>
      <c r="S295" s="5" t="s">
        <v>28</v>
      </c>
      <c r="T295" s="4" t="s">
        <v>112</v>
      </c>
      <c r="U295" s="5" t="s">
        <v>29</v>
      </c>
      <c r="V295" s="4">
        <v>973.4</v>
      </c>
      <c r="W295" s="5" t="s">
        <v>39</v>
      </c>
      <c r="Z295" s="7" t="s">
        <v>1647</v>
      </c>
    </row>
    <row r="296" spans="1:26" x14ac:dyDescent="0.25">
      <c r="A296" s="7" t="s">
        <v>877</v>
      </c>
      <c r="B296" s="7" t="s">
        <v>1071</v>
      </c>
      <c r="D296" s="4" t="s">
        <v>16</v>
      </c>
      <c r="F296" s="4" t="s">
        <v>878</v>
      </c>
      <c r="H296" s="32">
        <v>45147</v>
      </c>
      <c r="N296" s="4" t="s">
        <v>73</v>
      </c>
      <c r="O296" s="6">
        <v>45065</v>
      </c>
      <c r="Q296" s="9">
        <f ca="1">IF(P296="",TODAY()-O296,P296-O296)</f>
        <v>504</v>
      </c>
      <c r="S296" s="5" t="s">
        <v>28</v>
      </c>
      <c r="T296" s="4" t="s">
        <v>112</v>
      </c>
      <c r="U296" s="5" t="s">
        <v>29</v>
      </c>
      <c r="V296" s="4">
        <v>973.5</v>
      </c>
      <c r="W296" s="5" t="s">
        <v>39</v>
      </c>
      <c r="Z296" s="7" t="s">
        <v>1647</v>
      </c>
    </row>
    <row r="297" spans="1:26" x14ac:dyDescent="0.25">
      <c r="A297" s="7" t="s">
        <v>884</v>
      </c>
      <c r="C297" s="5" t="s">
        <v>12</v>
      </c>
      <c r="D297" s="4" t="s">
        <v>311</v>
      </c>
      <c r="E297" s="5" t="s">
        <v>23</v>
      </c>
      <c r="F297" s="4" t="s">
        <v>885</v>
      </c>
      <c r="N297" s="4" t="s">
        <v>73</v>
      </c>
      <c r="O297" s="6">
        <v>45068</v>
      </c>
      <c r="P297" s="11">
        <v>45077</v>
      </c>
      <c r="Q297" s="9">
        <f ca="1">IF(P297="",TODAY()-O297,P297-O297)</f>
        <v>9</v>
      </c>
      <c r="R297" s="4" t="s">
        <v>42</v>
      </c>
      <c r="S297" s="5" t="s">
        <v>26</v>
      </c>
      <c r="T297" s="4" t="s">
        <v>38</v>
      </c>
      <c r="U297" s="5" t="s">
        <v>30</v>
      </c>
      <c r="W297" s="5" t="s">
        <v>38</v>
      </c>
      <c r="Z297" s="7" t="s">
        <v>970</v>
      </c>
    </row>
    <row r="298" spans="1:26" x14ac:dyDescent="0.25">
      <c r="A298" s="7" t="s">
        <v>892</v>
      </c>
      <c r="C298" s="5" t="s">
        <v>12</v>
      </c>
      <c r="D298" s="4" t="s">
        <v>16</v>
      </c>
      <c r="E298" s="5" t="s">
        <v>22</v>
      </c>
      <c r="F298" s="4" t="s">
        <v>894</v>
      </c>
      <c r="G298" s="9" t="s">
        <v>50</v>
      </c>
      <c r="H298" s="32">
        <v>45062</v>
      </c>
      <c r="J298" s="4" t="s">
        <v>102</v>
      </c>
      <c r="N298" s="4" t="s">
        <v>73</v>
      </c>
      <c r="O298" s="6">
        <v>45069</v>
      </c>
      <c r="P298" s="11">
        <v>45069</v>
      </c>
      <c r="Q298" s="9">
        <f ca="1">IF(P298="",TODAY()-O298,P298-O298)</f>
        <v>0</v>
      </c>
      <c r="R298" s="4" t="s">
        <v>41</v>
      </c>
      <c r="S298" s="5" t="s">
        <v>26</v>
      </c>
      <c r="U298" s="5" t="s">
        <v>33</v>
      </c>
      <c r="W298" s="5" t="s">
        <v>39</v>
      </c>
    </row>
    <row r="299" spans="1:26" x14ac:dyDescent="0.25">
      <c r="A299" s="7" t="s">
        <v>893</v>
      </c>
      <c r="C299" s="5" t="s">
        <v>12</v>
      </c>
      <c r="D299" s="4" t="s">
        <v>311</v>
      </c>
      <c r="E299" s="5" t="s">
        <v>22</v>
      </c>
      <c r="F299" s="4" t="s">
        <v>894</v>
      </c>
      <c r="G299" s="9" t="s">
        <v>50</v>
      </c>
      <c r="H299" s="32">
        <v>45062</v>
      </c>
      <c r="J299" s="4" t="s">
        <v>102</v>
      </c>
      <c r="N299" s="4" t="s">
        <v>73</v>
      </c>
      <c r="O299" s="6">
        <v>45069</v>
      </c>
      <c r="P299" s="11">
        <v>45069</v>
      </c>
      <c r="Q299" s="9">
        <f ca="1">IF(P299="",TODAY()-O299,P299-O299)</f>
        <v>0</v>
      </c>
      <c r="R299" s="4" t="s">
        <v>41</v>
      </c>
      <c r="S299" s="5" t="s">
        <v>26</v>
      </c>
      <c r="U299" s="5" t="s">
        <v>33</v>
      </c>
      <c r="W299" s="5" t="s">
        <v>39</v>
      </c>
    </row>
    <row r="300" spans="1:26" x14ac:dyDescent="0.25">
      <c r="A300" s="7" t="s">
        <v>895</v>
      </c>
      <c r="C300" s="5" t="s">
        <v>12</v>
      </c>
      <c r="D300" s="4" t="s">
        <v>17</v>
      </c>
      <c r="E300" s="5" t="s">
        <v>22</v>
      </c>
      <c r="F300" s="4" t="s">
        <v>384</v>
      </c>
      <c r="K300" s="6">
        <v>45072</v>
      </c>
      <c r="L300" s="56"/>
      <c r="M300" s="56"/>
      <c r="N300" s="4" t="s">
        <v>73</v>
      </c>
      <c r="O300" s="6">
        <v>45070</v>
      </c>
      <c r="P300" s="11">
        <v>45072</v>
      </c>
      <c r="Q300" s="9">
        <f ca="1">IF(P300="",TODAY()-O300,P300-O300)</f>
        <v>2</v>
      </c>
      <c r="R300" s="4" t="s">
        <v>896</v>
      </c>
      <c r="S300" s="5" t="s">
        <v>631</v>
      </c>
      <c r="T300" s="4" t="s">
        <v>38</v>
      </c>
      <c r="U300" s="5" t="s">
        <v>30</v>
      </c>
      <c r="W300" s="5" t="s">
        <v>38</v>
      </c>
    </row>
    <row r="301" spans="1:26" x14ac:dyDescent="0.25">
      <c r="A301" s="7" t="s">
        <v>895</v>
      </c>
      <c r="C301" s="5" t="s">
        <v>12</v>
      </c>
      <c r="D301" s="4" t="s">
        <v>17</v>
      </c>
      <c r="E301" s="5" t="s">
        <v>22</v>
      </c>
      <c r="F301" s="4" t="s">
        <v>384</v>
      </c>
      <c r="K301" s="6">
        <v>45072</v>
      </c>
      <c r="L301" s="56"/>
      <c r="M301" s="56"/>
      <c r="N301" s="4" t="s">
        <v>73</v>
      </c>
      <c r="O301" s="6">
        <v>45071</v>
      </c>
      <c r="P301" s="11">
        <v>45072</v>
      </c>
      <c r="Q301" s="9">
        <f ca="1">IF(P301="",TODAY()-O301,P301-O301)</f>
        <v>1</v>
      </c>
      <c r="R301" s="4" t="s">
        <v>896</v>
      </c>
      <c r="S301" s="5" t="s">
        <v>631</v>
      </c>
      <c r="T301" s="4" t="s">
        <v>38</v>
      </c>
      <c r="U301" s="5" t="s">
        <v>30</v>
      </c>
      <c r="W301" s="5" t="s">
        <v>38</v>
      </c>
    </row>
    <row r="302" spans="1:26" x14ac:dyDescent="0.25">
      <c r="A302" s="7" t="s">
        <v>1204</v>
      </c>
      <c r="B302" s="7" t="s">
        <v>1071</v>
      </c>
      <c r="C302" s="5" t="s">
        <v>12</v>
      </c>
      <c r="D302" s="4" t="s">
        <v>19</v>
      </c>
      <c r="E302" s="5" t="s">
        <v>22</v>
      </c>
      <c r="F302" s="4" t="s">
        <v>1203</v>
      </c>
      <c r="G302" s="9" t="s">
        <v>51</v>
      </c>
      <c r="H302" s="32">
        <v>45092</v>
      </c>
      <c r="I302" s="33">
        <v>45114</v>
      </c>
      <c r="J302" s="4" t="s">
        <v>503</v>
      </c>
      <c r="K302" s="6"/>
      <c r="L302" s="56"/>
      <c r="M302" s="56"/>
      <c r="N302" s="4" t="s">
        <v>73</v>
      </c>
      <c r="O302" s="6">
        <v>45072</v>
      </c>
      <c r="P302" s="11">
        <v>45162</v>
      </c>
      <c r="Q302" s="9">
        <f ca="1">IF(P302="",TODAY()-O302,P302-O302)</f>
        <v>90</v>
      </c>
      <c r="R302" s="4" t="s">
        <v>41</v>
      </c>
      <c r="S302" s="5" t="s">
        <v>26</v>
      </c>
      <c r="T302" s="4" t="s">
        <v>38</v>
      </c>
      <c r="U302" s="5" t="s">
        <v>30</v>
      </c>
      <c r="W302" s="5" t="s">
        <v>38</v>
      </c>
      <c r="X302" s="38" t="s">
        <v>1605</v>
      </c>
      <c r="Z302" s="7" t="s">
        <v>1449</v>
      </c>
    </row>
    <row r="303" spans="1:26" x14ac:dyDescent="0.25">
      <c r="A303" s="7" t="s">
        <v>897</v>
      </c>
      <c r="C303" s="5" t="s">
        <v>12</v>
      </c>
      <c r="D303" s="4" t="s">
        <v>17</v>
      </c>
      <c r="E303" s="5" t="s">
        <v>23</v>
      </c>
      <c r="F303" s="4" t="s">
        <v>609</v>
      </c>
      <c r="N303" s="4" t="s">
        <v>73</v>
      </c>
      <c r="O303" s="6">
        <v>45073</v>
      </c>
      <c r="P303" s="11">
        <v>45093</v>
      </c>
      <c r="Q303" s="9">
        <f ca="1">IF(P303="",TODAY()-O303,P303-O303)</f>
        <v>20</v>
      </c>
      <c r="R303" s="4" t="s">
        <v>43</v>
      </c>
      <c r="S303" s="5" t="s">
        <v>26</v>
      </c>
      <c r="T303" s="4" t="s">
        <v>38</v>
      </c>
      <c r="U303" s="5" t="s">
        <v>30</v>
      </c>
      <c r="W303" s="5" t="s">
        <v>38</v>
      </c>
      <c r="Z303" s="7" t="s">
        <v>1020</v>
      </c>
    </row>
    <row r="304" spans="1:26" x14ac:dyDescent="0.25">
      <c r="A304" s="7" t="s">
        <v>962</v>
      </c>
      <c r="C304" s="5" t="s">
        <v>12</v>
      </c>
      <c r="D304" s="4" t="s">
        <v>17</v>
      </c>
      <c r="E304" s="5" t="s">
        <v>22</v>
      </c>
      <c r="F304" s="4" t="s">
        <v>902</v>
      </c>
      <c r="N304" s="4" t="s">
        <v>73</v>
      </c>
      <c r="O304" s="6">
        <v>45073</v>
      </c>
      <c r="P304" s="11">
        <v>45084</v>
      </c>
      <c r="Q304" s="9">
        <f ca="1">IF(P304="",TODAY()-O304,P304-O304)</f>
        <v>11</v>
      </c>
      <c r="R304" s="4" t="s">
        <v>42</v>
      </c>
      <c r="S304" s="5" t="s">
        <v>26</v>
      </c>
      <c r="T304" s="4" t="s">
        <v>38</v>
      </c>
      <c r="U304" s="5" t="s">
        <v>29</v>
      </c>
      <c r="V304" s="4">
        <v>934</v>
      </c>
      <c r="W304" s="5" t="s">
        <v>39</v>
      </c>
      <c r="Z304" s="7" t="s">
        <v>963</v>
      </c>
    </row>
    <row r="305" spans="1:26" x14ac:dyDescent="0.25">
      <c r="A305" s="7" t="s">
        <v>898</v>
      </c>
      <c r="C305" s="5" t="s">
        <v>12</v>
      </c>
      <c r="D305" s="4" t="s">
        <v>20</v>
      </c>
      <c r="E305" s="5" t="s">
        <v>24</v>
      </c>
      <c r="F305" s="4" t="s">
        <v>384</v>
      </c>
      <c r="N305" s="4" t="s">
        <v>9</v>
      </c>
      <c r="O305" s="6">
        <v>45075</v>
      </c>
      <c r="P305" s="11">
        <v>45075</v>
      </c>
      <c r="Q305" s="9">
        <f ca="1">IF(P305="",TODAY()-O305,P305-O305)</f>
        <v>0</v>
      </c>
      <c r="R305" s="4" t="s">
        <v>42</v>
      </c>
      <c r="S305" s="5" t="s">
        <v>26</v>
      </c>
      <c r="T305" s="4" t="s">
        <v>38</v>
      </c>
      <c r="U305" s="5" t="s">
        <v>30</v>
      </c>
      <c r="W305" s="5" t="s">
        <v>38</v>
      </c>
      <c r="Z305" s="7" t="s">
        <v>899</v>
      </c>
    </row>
    <row r="306" spans="1:26" x14ac:dyDescent="0.25">
      <c r="A306" s="7" t="s">
        <v>900</v>
      </c>
      <c r="C306" s="5" t="s">
        <v>12</v>
      </c>
      <c r="D306" s="4" t="s">
        <v>18</v>
      </c>
      <c r="E306" s="5" t="s">
        <v>22</v>
      </c>
      <c r="F306" s="4" t="s">
        <v>384</v>
      </c>
      <c r="N306" s="4" t="s">
        <v>9</v>
      </c>
      <c r="O306" s="6">
        <v>45075</v>
      </c>
      <c r="P306" s="11">
        <v>45075</v>
      </c>
      <c r="Q306" s="9">
        <f ca="1">IF(P306="",TODAY()-O306,P306-O306)</f>
        <v>0</v>
      </c>
      <c r="R306" s="4" t="s">
        <v>42</v>
      </c>
      <c r="S306" s="5" t="s">
        <v>631</v>
      </c>
      <c r="T306" s="4" t="s">
        <v>38</v>
      </c>
      <c r="U306" s="5" t="s">
        <v>29</v>
      </c>
      <c r="V306" s="4">
        <v>930</v>
      </c>
      <c r="W306" s="5" t="s">
        <v>38</v>
      </c>
      <c r="Z306" s="7" t="s">
        <v>901</v>
      </c>
    </row>
    <row r="307" spans="1:26" x14ac:dyDescent="0.25">
      <c r="A307" s="7" t="s">
        <v>1334</v>
      </c>
      <c r="B307" s="7" t="s">
        <v>1071</v>
      </c>
      <c r="C307" s="5" t="s">
        <v>12</v>
      </c>
      <c r="E307" s="5" t="s">
        <v>24</v>
      </c>
      <c r="F307" s="4" t="s">
        <v>384</v>
      </c>
      <c r="K307" s="6">
        <v>45075</v>
      </c>
      <c r="O307" s="6">
        <v>45075</v>
      </c>
      <c r="P307" s="11">
        <v>45075</v>
      </c>
      <c r="Q307" s="9">
        <f ca="1">IF(P307="",TODAY()-O307,P307-O307)</f>
        <v>0</v>
      </c>
      <c r="R307" s="4" t="s">
        <v>2039</v>
      </c>
      <c r="S307" s="5" t="s">
        <v>631</v>
      </c>
      <c r="U307" s="5" t="s">
        <v>29</v>
      </c>
      <c r="V307" s="4">
        <v>943</v>
      </c>
      <c r="W307" s="5" t="s">
        <v>39</v>
      </c>
    </row>
    <row r="308" spans="1:26" x14ac:dyDescent="0.25">
      <c r="A308" s="7" t="s">
        <v>2573</v>
      </c>
      <c r="B308" s="7" t="s">
        <v>1071</v>
      </c>
      <c r="C308" s="5" t="s">
        <v>12</v>
      </c>
      <c r="E308" s="5" t="s">
        <v>24</v>
      </c>
      <c r="F308" s="4" t="s">
        <v>384</v>
      </c>
      <c r="K308" s="6">
        <v>45075</v>
      </c>
      <c r="O308" s="6">
        <v>45075</v>
      </c>
      <c r="P308" s="11">
        <v>45075</v>
      </c>
      <c r="Q308" s="9">
        <f ca="1">IF(P308="",TODAY()-O308,P308-O308)</f>
        <v>0</v>
      </c>
      <c r="R308" s="4" t="s">
        <v>2039</v>
      </c>
      <c r="S308" s="5" t="s">
        <v>631</v>
      </c>
      <c r="U308" s="5" t="s">
        <v>29</v>
      </c>
      <c r="V308" s="4">
        <v>944</v>
      </c>
      <c r="W308" s="5" t="s">
        <v>39</v>
      </c>
    </row>
    <row r="309" spans="1:26" x14ac:dyDescent="0.25">
      <c r="A309" s="7" t="s">
        <v>906</v>
      </c>
      <c r="B309" s="7" t="s">
        <v>1071</v>
      </c>
      <c r="C309" s="5" t="s">
        <v>12</v>
      </c>
      <c r="D309" s="4" t="s">
        <v>16</v>
      </c>
      <c r="E309" s="5" t="s">
        <v>25</v>
      </c>
      <c r="F309" s="4" t="s">
        <v>583</v>
      </c>
      <c r="G309" s="9" t="s">
        <v>51</v>
      </c>
      <c r="H309" s="32">
        <v>45092</v>
      </c>
      <c r="I309" s="33">
        <v>45114</v>
      </c>
      <c r="J309" s="4" t="s">
        <v>503</v>
      </c>
      <c r="N309" s="4" t="s">
        <v>73</v>
      </c>
      <c r="O309" s="6">
        <v>45076</v>
      </c>
      <c r="Q309" s="9">
        <f ca="1">IF(P309="",TODAY()-O309,P309-O309)</f>
        <v>493</v>
      </c>
      <c r="S309" s="5" t="s">
        <v>631</v>
      </c>
      <c r="T309" s="4" t="s">
        <v>112</v>
      </c>
      <c r="U309" s="5" t="s">
        <v>30</v>
      </c>
      <c r="W309" s="5" t="s">
        <v>38</v>
      </c>
      <c r="X309" s="38" t="s">
        <v>1871</v>
      </c>
      <c r="Y309" s="44">
        <v>45114</v>
      </c>
      <c r="Z309" s="7" t="s">
        <v>1449</v>
      </c>
    </row>
    <row r="310" spans="1:26" x14ac:dyDescent="0.25">
      <c r="A310" s="7" t="s">
        <v>933</v>
      </c>
      <c r="C310" s="5" t="s">
        <v>12</v>
      </c>
      <c r="D310" s="4" t="s">
        <v>19</v>
      </c>
      <c r="F310" s="4" t="s">
        <v>237</v>
      </c>
      <c r="N310" s="4" t="s">
        <v>73</v>
      </c>
      <c r="O310" s="6">
        <v>45077</v>
      </c>
      <c r="Q310" s="9">
        <f ca="1">IF(P310="",TODAY()-O310,P310-O310)</f>
        <v>492</v>
      </c>
      <c r="S310" s="5" t="s">
        <v>122</v>
      </c>
      <c r="T310" s="4" t="s">
        <v>38</v>
      </c>
      <c r="W310" s="5" t="s">
        <v>38</v>
      </c>
    </row>
    <row r="311" spans="1:26" x14ac:dyDescent="0.25">
      <c r="A311" s="7" t="s">
        <v>934</v>
      </c>
      <c r="C311" s="5" t="s">
        <v>12</v>
      </c>
      <c r="D311" s="4" t="s">
        <v>713</v>
      </c>
      <c r="F311" s="4" t="s">
        <v>853</v>
      </c>
      <c r="N311" s="4" t="s">
        <v>73</v>
      </c>
      <c r="O311" s="6">
        <v>45077</v>
      </c>
      <c r="Q311" s="9">
        <f ca="1">IF(P311="",TODAY()-O311,P311-O311)</f>
        <v>492</v>
      </c>
      <c r="S311" s="5" t="s">
        <v>122</v>
      </c>
      <c r="T311" s="4" t="s">
        <v>38</v>
      </c>
      <c r="W311" s="5" t="s">
        <v>38</v>
      </c>
    </row>
    <row r="312" spans="1:26" x14ac:dyDescent="0.25">
      <c r="A312" s="7" t="s">
        <v>1588</v>
      </c>
      <c r="B312" s="7" t="s">
        <v>1071</v>
      </c>
      <c r="C312" s="5" t="s">
        <v>12</v>
      </c>
      <c r="D312" s="4" t="s">
        <v>18</v>
      </c>
      <c r="E312" s="5" t="s">
        <v>23</v>
      </c>
      <c r="F312" s="4" t="s">
        <v>853</v>
      </c>
      <c r="G312" s="9" t="s">
        <v>51</v>
      </c>
      <c r="H312" s="32">
        <v>45128</v>
      </c>
      <c r="I312" s="33">
        <v>45153</v>
      </c>
      <c r="J312" s="4" t="s">
        <v>503</v>
      </c>
      <c r="N312" s="4" t="s">
        <v>73</v>
      </c>
      <c r="O312" s="6">
        <v>45077</v>
      </c>
      <c r="P312" s="11">
        <v>45175</v>
      </c>
      <c r="Q312" s="9">
        <f ca="1">IF(P312="",TODAY()-O312,P312-O312)</f>
        <v>98</v>
      </c>
      <c r="R312" s="4" t="s">
        <v>41</v>
      </c>
      <c r="S312" s="5" t="s">
        <v>122</v>
      </c>
      <c r="T312" s="4" t="s">
        <v>38</v>
      </c>
      <c r="U312" s="5" t="s">
        <v>30</v>
      </c>
      <c r="W312" s="5" t="s">
        <v>38</v>
      </c>
      <c r="X312" s="38" t="s">
        <v>1501</v>
      </c>
      <c r="Z312" s="7" t="s">
        <v>1502</v>
      </c>
    </row>
    <row r="313" spans="1:26" x14ac:dyDescent="0.25">
      <c r="A313" s="7" t="s">
        <v>1593</v>
      </c>
      <c r="B313" s="7" t="s">
        <v>1071</v>
      </c>
      <c r="C313" s="5" t="s">
        <v>12</v>
      </c>
      <c r="D313" s="4" t="s">
        <v>20</v>
      </c>
      <c r="E313" s="5" t="s">
        <v>23</v>
      </c>
      <c r="F313" s="4" t="s">
        <v>853</v>
      </c>
      <c r="G313" s="9" t="s">
        <v>51</v>
      </c>
      <c r="H313" s="32">
        <v>45128</v>
      </c>
      <c r="I313" s="33">
        <v>45153</v>
      </c>
      <c r="J313" s="4" t="s">
        <v>503</v>
      </c>
      <c r="N313" s="4" t="s">
        <v>73</v>
      </c>
      <c r="O313" s="6">
        <v>45077</v>
      </c>
      <c r="P313" s="11">
        <v>45171</v>
      </c>
      <c r="Q313" s="9">
        <f ca="1">IF(P313="",TODAY()-O313,P313-O313)</f>
        <v>94</v>
      </c>
      <c r="R313" s="4" t="s">
        <v>41</v>
      </c>
      <c r="S313" s="5" t="s">
        <v>122</v>
      </c>
      <c r="T313" s="4" t="s">
        <v>38</v>
      </c>
      <c r="U313" s="5" t="s">
        <v>30</v>
      </c>
      <c r="W313" s="5" t="s">
        <v>38</v>
      </c>
      <c r="X313" s="38" t="s">
        <v>1503</v>
      </c>
      <c r="Z313" s="7" t="s">
        <v>1500</v>
      </c>
    </row>
    <row r="314" spans="1:26" x14ac:dyDescent="0.25">
      <c r="A314" s="7" t="s">
        <v>935</v>
      </c>
      <c r="C314" s="5" t="s">
        <v>12</v>
      </c>
      <c r="D314" s="4" t="s">
        <v>18</v>
      </c>
      <c r="F314" s="4" t="s">
        <v>853</v>
      </c>
      <c r="N314" s="4" t="s">
        <v>73</v>
      </c>
      <c r="O314" s="6">
        <v>45077</v>
      </c>
      <c r="P314" s="11">
        <v>45106</v>
      </c>
      <c r="Q314" s="9">
        <f ca="1">IF(P314="",TODAY()-O314,P314-O314)</f>
        <v>29</v>
      </c>
      <c r="R314" s="4" t="s">
        <v>43</v>
      </c>
      <c r="S314" s="5" t="s">
        <v>122</v>
      </c>
      <c r="T314" s="4" t="s">
        <v>38</v>
      </c>
      <c r="U314" s="5" t="s">
        <v>30</v>
      </c>
      <c r="W314" s="5" t="s">
        <v>38</v>
      </c>
      <c r="Z314" s="7" t="s">
        <v>1198</v>
      </c>
    </row>
    <row r="315" spans="1:26" x14ac:dyDescent="0.25">
      <c r="A315" s="7" t="s">
        <v>1905</v>
      </c>
      <c r="B315" s="7" t="s">
        <v>1071</v>
      </c>
      <c r="C315" s="5" t="s">
        <v>12</v>
      </c>
      <c r="D315" s="4" t="s">
        <v>20</v>
      </c>
      <c r="E315" s="5" t="s">
        <v>25</v>
      </c>
      <c r="F315" s="4" t="s">
        <v>384</v>
      </c>
      <c r="K315" s="6">
        <v>45103</v>
      </c>
      <c r="L315" s="56"/>
      <c r="M315" s="56"/>
      <c r="N315" s="4" t="s">
        <v>73</v>
      </c>
      <c r="O315" s="6">
        <v>45077</v>
      </c>
      <c r="Q315" s="9">
        <f ca="1">IF(P315="",TODAY()-O315,P315-O315)</f>
        <v>492</v>
      </c>
      <c r="R315" s="4" t="s">
        <v>2039</v>
      </c>
      <c r="S315" s="5" t="s">
        <v>26</v>
      </c>
      <c r="T315" s="4" t="s">
        <v>425</v>
      </c>
      <c r="U315" s="5" t="s">
        <v>29</v>
      </c>
      <c r="V315" s="4">
        <v>952</v>
      </c>
      <c r="W315" s="5" t="s">
        <v>425</v>
      </c>
    </row>
    <row r="316" spans="1:26" ht="30" x14ac:dyDescent="0.25">
      <c r="A316" s="7" t="s">
        <v>936</v>
      </c>
      <c r="B316" s="7" t="s">
        <v>1071</v>
      </c>
      <c r="C316" s="5" t="s">
        <v>12</v>
      </c>
      <c r="D316" s="4" t="s">
        <v>20</v>
      </c>
      <c r="E316" s="5" t="s">
        <v>22</v>
      </c>
      <c r="F316" s="46" t="s">
        <v>2450</v>
      </c>
      <c r="G316" s="9" t="s">
        <v>51</v>
      </c>
      <c r="H316" s="32">
        <v>45107</v>
      </c>
      <c r="I316" s="33">
        <v>45138</v>
      </c>
      <c r="J316" s="4" t="s">
        <v>101</v>
      </c>
      <c r="N316" s="4" t="s">
        <v>73</v>
      </c>
      <c r="O316" s="6">
        <v>45077</v>
      </c>
      <c r="P316" s="11">
        <v>45161</v>
      </c>
      <c r="Q316" s="9">
        <f ca="1">IF(P316="",TODAY()-O316,P316-O316)</f>
        <v>84</v>
      </c>
      <c r="R316" s="4" t="s">
        <v>41</v>
      </c>
      <c r="S316" s="5" t="s">
        <v>26</v>
      </c>
      <c r="T316" s="4" t="s">
        <v>638</v>
      </c>
      <c r="U316" s="5" t="s">
        <v>452</v>
      </c>
      <c r="W316" s="5" t="s">
        <v>425</v>
      </c>
      <c r="X316" s="38" t="s">
        <v>2153</v>
      </c>
      <c r="Y316" s="44">
        <v>45107</v>
      </c>
    </row>
    <row r="317" spans="1:26" ht="30" x14ac:dyDescent="0.25">
      <c r="A317" s="7" t="s">
        <v>937</v>
      </c>
      <c r="B317" s="7" t="s">
        <v>1071</v>
      </c>
      <c r="C317" s="5" t="s">
        <v>12</v>
      </c>
      <c r="D317" s="4" t="s">
        <v>20</v>
      </c>
      <c r="E317" s="5" t="s">
        <v>22</v>
      </c>
      <c r="F317" s="46" t="s">
        <v>2450</v>
      </c>
      <c r="G317" s="9" t="s">
        <v>51</v>
      </c>
      <c r="H317" s="32">
        <v>45107</v>
      </c>
      <c r="I317" s="33">
        <v>45138</v>
      </c>
      <c r="J317" s="4" t="s">
        <v>101</v>
      </c>
      <c r="N317" s="4" t="s">
        <v>73</v>
      </c>
      <c r="O317" s="6">
        <v>45077</v>
      </c>
      <c r="P317" s="11">
        <v>45161</v>
      </c>
      <c r="Q317" s="9">
        <f ca="1">IF(P317="",TODAY()-O317,P317-O317)</f>
        <v>84</v>
      </c>
      <c r="R317" s="4" t="s">
        <v>41</v>
      </c>
      <c r="S317" s="5" t="s">
        <v>26</v>
      </c>
      <c r="T317" s="4" t="s">
        <v>638</v>
      </c>
      <c r="U317" s="5" t="s">
        <v>452</v>
      </c>
      <c r="W317" s="5" t="s">
        <v>425</v>
      </c>
      <c r="X317" s="38" t="s">
        <v>2154</v>
      </c>
      <c r="Y317" s="44">
        <v>45107</v>
      </c>
    </row>
    <row r="318" spans="1:26" ht="30" x14ac:dyDescent="0.25">
      <c r="A318" s="7" t="s">
        <v>938</v>
      </c>
      <c r="B318" s="7" t="s">
        <v>1071</v>
      </c>
      <c r="C318" s="5" t="s">
        <v>12</v>
      </c>
      <c r="D318" s="4" t="s">
        <v>20</v>
      </c>
      <c r="F318" s="46" t="s">
        <v>2450</v>
      </c>
      <c r="G318" s="9" t="s">
        <v>51</v>
      </c>
      <c r="H318" s="32"/>
      <c r="I318" s="33"/>
      <c r="J318" s="4" t="s">
        <v>101</v>
      </c>
      <c r="N318" s="4" t="s">
        <v>73</v>
      </c>
      <c r="O318" s="6">
        <v>45077</v>
      </c>
      <c r="Q318" s="9">
        <f ca="1">IF(P318="",TODAY()-O318,P318-O318)</f>
        <v>492</v>
      </c>
      <c r="S318" s="5" t="s">
        <v>26</v>
      </c>
      <c r="T318" s="4" t="s">
        <v>425</v>
      </c>
      <c r="W318" s="5" t="s">
        <v>425</v>
      </c>
    </row>
    <row r="319" spans="1:26" ht="31.5" customHeight="1" x14ac:dyDescent="0.25">
      <c r="A319" s="7" t="s">
        <v>939</v>
      </c>
      <c r="B319" s="7" t="s">
        <v>1071</v>
      </c>
      <c r="C319" s="5" t="s">
        <v>12</v>
      </c>
      <c r="D319" s="4" t="s">
        <v>16</v>
      </c>
      <c r="E319" s="5" t="s">
        <v>25</v>
      </c>
      <c r="F319" s="46" t="s">
        <v>2589</v>
      </c>
      <c r="G319" s="9" t="s">
        <v>51</v>
      </c>
      <c r="H319" s="32">
        <v>45111</v>
      </c>
      <c r="I319" s="33">
        <v>45134</v>
      </c>
      <c r="J319" s="4" t="s">
        <v>101</v>
      </c>
      <c r="K319" s="6">
        <v>45182</v>
      </c>
      <c r="N319" s="4" t="s">
        <v>73</v>
      </c>
      <c r="O319" s="6">
        <v>45077</v>
      </c>
      <c r="P319" s="11">
        <v>45290</v>
      </c>
      <c r="Q319" s="9">
        <f ca="1">IF(P319="",TODAY()-O319,P319-O319)</f>
        <v>213</v>
      </c>
      <c r="R319" s="4" t="s">
        <v>41</v>
      </c>
      <c r="S319" s="5" t="s">
        <v>26</v>
      </c>
      <c r="T319" s="4" t="s">
        <v>425</v>
      </c>
      <c r="U319" s="5" t="s">
        <v>29</v>
      </c>
      <c r="V319" s="4">
        <v>954</v>
      </c>
      <c r="W319" s="5" t="s">
        <v>425</v>
      </c>
      <c r="X319" s="38" t="s">
        <v>2447</v>
      </c>
      <c r="Y319" s="44">
        <v>45182</v>
      </c>
      <c r="Z319" s="7" t="s">
        <v>2448</v>
      </c>
    </row>
    <row r="320" spans="1:26" x14ac:dyDescent="0.25">
      <c r="A320" s="28" t="s">
        <v>959</v>
      </c>
      <c r="B320" s="28"/>
      <c r="C320" s="14" t="s">
        <v>12</v>
      </c>
      <c r="D320" s="13" t="s">
        <v>17</v>
      </c>
      <c r="E320" s="14" t="s">
        <v>23</v>
      </c>
      <c r="F320" s="13" t="s">
        <v>961</v>
      </c>
      <c r="G320" s="15"/>
      <c r="H320" s="31"/>
      <c r="I320" s="15"/>
      <c r="J320" s="13"/>
      <c r="K320" s="14"/>
      <c r="L320" s="28"/>
      <c r="M320" s="28"/>
      <c r="N320" s="13" t="s">
        <v>73</v>
      </c>
      <c r="O320" s="16">
        <v>45079</v>
      </c>
      <c r="P320" s="36">
        <v>45086</v>
      </c>
      <c r="Q320" s="9">
        <f ca="1">IF(P320="",TODAY()-O320,P320-O320)</f>
        <v>7</v>
      </c>
      <c r="R320" s="13" t="s">
        <v>42</v>
      </c>
      <c r="S320" s="14" t="s">
        <v>26</v>
      </c>
      <c r="T320" s="13" t="s">
        <v>114</v>
      </c>
      <c r="U320" s="14" t="s">
        <v>33</v>
      </c>
      <c r="V320" s="13"/>
      <c r="W320" s="14" t="s">
        <v>38</v>
      </c>
      <c r="X320" s="39"/>
      <c r="Y320" s="43"/>
      <c r="Z320" s="28" t="s">
        <v>969</v>
      </c>
    </row>
    <row r="321" spans="1:26" x14ac:dyDescent="0.25">
      <c r="A321" s="7" t="s">
        <v>2089</v>
      </c>
      <c r="B321" s="7" t="s">
        <v>1071</v>
      </c>
      <c r="C321" s="5" t="s">
        <v>12</v>
      </c>
      <c r="D321" s="4" t="s">
        <v>20</v>
      </c>
      <c r="E321" s="5" t="s">
        <v>25</v>
      </c>
      <c r="F321" s="4" t="s">
        <v>384</v>
      </c>
      <c r="G321" s="9" t="s">
        <v>51</v>
      </c>
      <c r="H321" s="32">
        <v>45154</v>
      </c>
      <c r="I321" s="33">
        <v>45194</v>
      </c>
      <c r="J321" s="4" t="s">
        <v>503</v>
      </c>
      <c r="K321" s="6">
        <v>45169</v>
      </c>
      <c r="L321" s="56"/>
      <c r="M321" s="56"/>
      <c r="N321" s="4" t="s">
        <v>73</v>
      </c>
      <c r="O321" s="6">
        <v>45080</v>
      </c>
      <c r="P321" s="11">
        <v>45242</v>
      </c>
      <c r="Q321" s="9">
        <f ca="1">IF(P321="",TODAY()-O321,P321-O321)</f>
        <v>162</v>
      </c>
      <c r="R321" s="4" t="s">
        <v>41</v>
      </c>
      <c r="S321" s="5" t="s">
        <v>26</v>
      </c>
      <c r="T321" s="4" t="s">
        <v>112</v>
      </c>
      <c r="U321" s="5" t="s">
        <v>30</v>
      </c>
      <c r="W321" s="5" t="s">
        <v>112</v>
      </c>
      <c r="X321" s="38" t="s">
        <v>1785</v>
      </c>
      <c r="Y321" s="44">
        <v>45154</v>
      </c>
      <c r="Z321" s="7" t="s">
        <v>1786</v>
      </c>
    </row>
    <row r="322" spans="1:26" x14ac:dyDescent="0.25">
      <c r="A322" s="7" t="s">
        <v>1411</v>
      </c>
      <c r="B322" s="7" t="s">
        <v>1071</v>
      </c>
      <c r="C322" s="5" t="s">
        <v>620</v>
      </c>
      <c r="D322" s="4" t="s">
        <v>20</v>
      </c>
      <c r="E322" s="5" t="s">
        <v>23</v>
      </c>
      <c r="F322" s="4" t="s">
        <v>384</v>
      </c>
      <c r="N322" s="4" t="s">
        <v>73</v>
      </c>
      <c r="O322" s="6">
        <v>45080</v>
      </c>
      <c r="Q322" s="9">
        <f ca="1">IF(P322="",TODAY()-O322,P322-O322)</f>
        <v>489</v>
      </c>
      <c r="S322" s="5" t="s">
        <v>631</v>
      </c>
      <c r="T322" s="4" t="s">
        <v>112</v>
      </c>
      <c r="W322" s="5" t="s">
        <v>112</v>
      </c>
      <c r="Z322" s="7" t="s">
        <v>1429</v>
      </c>
    </row>
    <row r="323" spans="1:26" x14ac:dyDescent="0.25">
      <c r="A323" s="7" t="s">
        <v>949</v>
      </c>
      <c r="C323" s="5" t="s">
        <v>12</v>
      </c>
      <c r="D323" s="4" t="s">
        <v>311</v>
      </c>
      <c r="E323" s="5" t="s">
        <v>25</v>
      </c>
      <c r="F323" s="4" t="s">
        <v>384</v>
      </c>
      <c r="K323" s="6">
        <v>45113</v>
      </c>
      <c r="L323" s="56"/>
      <c r="M323" s="56"/>
      <c r="N323" s="4" t="s">
        <v>73</v>
      </c>
      <c r="O323" s="6">
        <v>45080</v>
      </c>
      <c r="P323" s="11">
        <v>45119</v>
      </c>
      <c r="Q323" s="9">
        <f ca="1">IF(P323="",TODAY()-O323,P323-O323)</f>
        <v>39</v>
      </c>
      <c r="R323" s="4" t="s">
        <v>896</v>
      </c>
      <c r="S323" s="5" t="s">
        <v>26</v>
      </c>
      <c r="T323" s="4" t="s">
        <v>112</v>
      </c>
      <c r="W323" s="5" t="s">
        <v>38</v>
      </c>
      <c r="Z323" s="7" t="s">
        <v>1270</v>
      </c>
    </row>
    <row r="324" spans="1:26" x14ac:dyDescent="0.25">
      <c r="A324" s="7" t="s">
        <v>950</v>
      </c>
      <c r="C324" s="5" t="s">
        <v>12</v>
      </c>
      <c r="D324" s="4" t="s">
        <v>311</v>
      </c>
      <c r="E324" s="5" t="s">
        <v>24</v>
      </c>
      <c r="F324" s="4" t="s">
        <v>952</v>
      </c>
      <c r="N324" s="4" t="s">
        <v>73</v>
      </c>
      <c r="O324" s="6">
        <v>45080</v>
      </c>
      <c r="Q324" s="9">
        <f ca="1">IF(P324="",TODAY()-O324,P324-O324)</f>
        <v>489</v>
      </c>
      <c r="S324" s="5" t="s">
        <v>26</v>
      </c>
      <c r="T324" s="4" t="s">
        <v>112</v>
      </c>
      <c r="W324" s="5" t="s">
        <v>38</v>
      </c>
    </row>
    <row r="325" spans="1:26" ht="16.5" customHeight="1" x14ac:dyDescent="0.25">
      <c r="A325" s="7" t="s">
        <v>951</v>
      </c>
      <c r="C325" s="5" t="s">
        <v>12</v>
      </c>
      <c r="D325" s="4" t="s">
        <v>311</v>
      </c>
      <c r="E325" s="5" t="s">
        <v>23</v>
      </c>
      <c r="F325" s="4" t="s">
        <v>952</v>
      </c>
      <c r="N325" s="4" t="s">
        <v>73</v>
      </c>
      <c r="O325" s="6">
        <v>45080</v>
      </c>
      <c r="Q325" s="9">
        <f ca="1">IF(P325="",TODAY()-O325,P325-O325)</f>
        <v>489</v>
      </c>
      <c r="S325" s="5" t="s">
        <v>26</v>
      </c>
      <c r="T325" s="4" t="s">
        <v>112</v>
      </c>
      <c r="W325" s="5" t="s">
        <v>38</v>
      </c>
    </row>
    <row r="326" spans="1:26" s="13" customFormat="1" ht="16.5" customHeight="1" x14ac:dyDescent="0.25">
      <c r="A326" s="7" t="s">
        <v>1313</v>
      </c>
      <c r="B326" s="7"/>
      <c r="C326" s="5" t="s">
        <v>12</v>
      </c>
      <c r="D326" s="4" t="s">
        <v>17</v>
      </c>
      <c r="E326" s="5" t="s">
        <v>22</v>
      </c>
      <c r="F326" s="4" t="s">
        <v>384</v>
      </c>
      <c r="G326" s="9"/>
      <c r="H326" s="30"/>
      <c r="I326" s="9"/>
      <c r="J326" s="4"/>
      <c r="K326" s="5"/>
      <c r="L326" s="7"/>
      <c r="M326" s="7"/>
      <c r="N326" s="4" t="s">
        <v>9</v>
      </c>
      <c r="O326" s="6">
        <v>45080</v>
      </c>
      <c r="P326" s="4"/>
      <c r="Q326" s="9">
        <f ca="1">IF(P326="",TODAY()-O326,P326-O326)</f>
        <v>489</v>
      </c>
      <c r="R326" s="4"/>
      <c r="S326" s="5" t="s">
        <v>26</v>
      </c>
      <c r="T326" s="4" t="s">
        <v>113</v>
      </c>
      <c r="U326" s="5" t="s">
        <v>29</v>
      </c>
      <c r="V326" s="4">
        <v>935</v>
      </c>
      <c r="W326" s="5" t="s">
        <v>39</v>
      </c>
      <c r="X326" s="38"/>
      <c r="Y326" s="42"/>
      <c r="Z326" s="7" t="s">
        <v>948</v>
      </c>
    </row>
    <row r="327" spans="1:26" x14ac:dyDescent="0.25">
      <c r="A327" s="7" t="s">
        <v>944</v>
      </c>
      <c r="B327" s="7" t="s">
        <v>1071</v>
      </c>
      <c r="C327" s="5" t="s">
        <v>12</v>
      </c>
      <c r="D327" s="4" t="s">
        <v>311</v>
      </c>
      <c r="E327" s="5" t="s">
        <v>22</v>
      </c>
      <c r="F327" s="4" t="s">
        <v>947</v>
      </c>
      <c r="N327" s="4" t="s">
        <v>73</v>
      </c>
      <c r="O327" s="6">
        <v>45081</v>
      </c>
      <c r="P327" s="11">
        <v>45154</v>
      </c>
      <c r="Q327" s="9">
        <f ca="1">IF(P327="",TODAY()-O327,P327-O327)</f>
        <v>73</v>
      </c>
      <c r="R327" s="4" t="s">
        <v>43</v>
      </c>
      <c r="S327" s="5" t="s">
        <v>28</v>
      </c>
      <c r="T327" s="4" t="s">
        <v>112</v>
      </c>
      <c r="W327" s="5" t="s">
        <v>39</v>
      </c>
      <c r="Z327" s="7" t="s">
        <v>1444</v>
      </c>
    </row>
    <row r="328" spans="1:26" x14ac:dyDescent="0.25">
      <c r="A328" s="7" t="s">
        <v>945</v>
      </c>
      <c r="B328" s="7" t="s">
        <v>1071</v>
      </c>
      <c r="C328" s="5" t="s">
        <v>12</v>
      </c>
      <c r="D328" s="4" t="s">
        <v>20</v>
      </c>
      <c r="E328" s="5" t="s">
        <v>22</v>
      </c>
      <c r="F328" s="4" t="s">
        <v>947</v>
      </c>
      <c r="N328" s="4" t="s">
        <v>73</v>
      </c>
      <c r="O328" s="6">
        <v>45081</v>
      </c>
      <c r="Q328" s="9">
        <f ca="1">IF(P328="",TODAY()-O328,P328-O328)</f>
        <v>488</v>
      </c>
      <c r="S328" s="5" t="s">
        <v>28</v>
      </c>
      <c r="T328" s="4" t="s">
        <v>112</v>
      </c>
      <c r="W328" s="5" t="s">
        <v>39</v>
      </c>
      <c r="Z328" s="7" t="s">
        <v>1445</v>
      </c>
    </row>
    <row r="329" spans="1:26" x14ac:dyDescent="0.25">
      <c r="A329" s="7" t="s">
        <v>946</v>
      </c>
      <c r="B329" s="7" t="s">
        <v>1071</v>
      </c>
      <c r="C329" s="5" t="s">
        <v>12</v>
      </c>
      <c r="D329" s="4" t="s">
        <v>16</v>
      </c>
      <c r="E329" s="5" t="s">
        <v>23</v>
      </c>
      <c r="F329" s="4" t="s">
        <v>947</v>
      </c>
      <c r="N329" s="4" t="s">
        <v>73</v>
      </c>
      <c r="O329" s="6">
        <v>45081</v>
      </c>
      <c r="P329" s="11">
        <v>45154</v>
      </c>
      <c r="Q329" s="9">
        <f ca="1">IF(P329="",TODAY()-O329,P329-O329)</f>
        <v>73</v>
      </c>
      <c r="R329" s="4" t="s">
        <v>43</v>
      </c>
      <c r="S329" s="5" t="s">
        <v>28</v>
      </c>
      <c r="T329" s="4" t="s">
        <v>112</v>
      </c>
      <c r="W329" s="5" t="s">
        <v>39</v>
      </c>
      <c r="Z329" s="7" t="s">
        <v>1444</v>
      </c>
    </row>
    <row r="330" spans="1:26" x14ac:dyDescent="0.25">
      <c r="A330" s="7" t="s">
        <v>953</v>
      </c>
      <c r="C330" s="5" t="s">
        <v>12</v>
      </c>
      <c r="D330" s="4" t="s">
        <v>16</v>
      </c>
      <c r="E330" s="5" t="s">
        <v>23</v>
      </c>
      <c r="F330" s="4" t="s">
        <v>384</v>
      </c>
      <c r="N330" s="4" t="s">
        <v>9</v>
      </c>
      <c r="O330" s="6">
        <v>45082</v>
      </c>
      <c r="P330" s="11">
        <v>45083</v>
      </c>
      <c r="Q330" s="9">
        <f ca="1">IF(P330="",TODAY()-O330,P330-O330)</f>
        <v>1</v>
      </c>
      <c r="R330" s="4" t="s">
        <v>431</v>
      </c>
      <c r="S330" s="5" t="s">
        <v>26</v>
      </c>
      <c r="U330" s="5" t="s">
        <v>29</v>
      </c>
      <c r="W330" s="5" t="s">
        <v>39</v>
      </c>
      <c r="Z330" s="7" t="s">
        <v>954</v>
      </c>
    </row>
    <row r="331" spans="1:26" x14ac:dyDescent="0.25">
      <c r="A331" s="7" t="s">
        <v>978</v>
      </c>
      <c r="C331" s="5" t="s">
        <v>12</v>
      </c>
      <c r="D331" s="4" t="s">
        <v>17</v>
      </c>
      <c r="E331" s="5" t="s">
        <v>23</v>
      </c>
      <c r="F331" s="4" t="s">
        <v>799</v>
      </c>
      <c r="N331" s="4" t="s">
        <v>73</v>
      </c>
      <c r="O331" s="6">
        <v>45083</v>
      </c>
      <c r="Q331" s="9">
        <f ca="1">IF(P331="",TODAY()-O331,P331-O331)</f>
        <v>486</v>
      </c>
      <c r="S331" s="5" t="s">
        <v>26</v>
      </c>
      <c r="T331" s="4" t="s">
        <v>968</v>
      </c>
      <c r="U331" s="5" t="s">
        <v>33</v>
      </c>
      <c r="W331" s="5" t="s">
        <v>39</v>
      </c>
      <c r="Z331" s="7" t="s">
        <v>979</v>
      </c>
    </row>
    <row r="332" spans="1:26" x14ac:dyDescent="0.25">
      <c r="A332" s="7" t="s">
        <v>1299</v>
      </c>
      <c r="B332" s="7" t="s">
        <v>1071</v>
      </c>
      <c r="C332" s="5" t="s">
        <v>620</v>
      </c>
      <c r="D332" s="4" t="s">
        <v>17</v>
      </c>
      <c r="E332" s="5" t="s">
        <v>23</v>
      </c>
      <c r="F332" s="4" t="s">
        <v>964</v>
      </c>
      <c r="G332" s="9" t="s">
        <v>51</v>
      </c>
      <c r="H332" s="32">
        <v>45117</v>
      </c>
      <c r="I332" s="33">
        <v>45143</v>
      </c>
      <c r="J332" s="4" t="s">
        <v>101</v>
      </c>
      <c r="K332" s="6">
        <v>45159</v>
      </c>
      <c r="L332" s="56" t="s">
        <v>2016</v>
      </c>
      <c r="M332" s="56" t="s">
        <v>2016</v>
      </c>
      <c r="N332" s="4" t="s">
        <v>73</v>
      </c>
      <c r="O332" s="6">
        <v>45086</v>
      </c>
      <c r="P332" s="11">
        <v>45219</v>
      </c>
      <c r="Q332" s="9">
        <f ca="1">IF(P332="",TODAY()-O332,P332-O332)</f>
        <v>133</v>
      </c>
      <c r="R332" s="4" t="s">
        <v>41</v>
      </c>
      <c r="S332" s="5" t="s">
        <v>26</v>
      </c>
      <c r="T332" s="4" t="s">
        <v>971</v>
      </c>
      <c r="U332" s="5" t="s">
        <v>29</v>
      </c>
      <c r="V332" s="4">
        <v>936</v>
      </c>
      <c r="W332" s="5" t="s">
        <v>38</v>
      </c>
      <c r="X332" s="38" t="s">
        <v>1703</v>
      </c>
      <c r="Y332" s="44">
        <v>45143</v>
      </c>
      <c r="Z332" s="7" t="s">
        <v>1750</v>
      </c>
    </row>
    <row r="333" spans="1:26" x14ac:dyDescent="0.25">
      <c r="A333" s="7" t="s">
        <v>1701</v>
      </c>
      <c r="B333" s="7" t="s">
        <v>1071</v>
      </c>
      <c r="C333" s="5" t="s">
        <v>620</v>
      </c>
      <c r="D333" s="4" t="s">
        <v>17</v>
      </c>
      <c r="E333" s="5" t="s">
        <v>22</v>
      </c>
      <c r="F333" s="4" t="s">
        <v>964</v>
      </c>
      <c r="G333" s="9" t="s">
        <v>51</v>
      </c>
      <c r="H333" s="32">
        <v>45117</v>
      </c>
      <c r="I333" s="33">
        <v>45143</v>
      </c>
      <c r="J333" s="4" t="s">
        <v>101</v>
      </c>
      <c r="K333" s="6">
        <v>45161</v>
      </c>
      <c r="L333" s="56" t="s">
        <v>2016</v>
      </c>
      <c r="M333" s="56" t="s">
        <v>2016</v>
      </c>
      <c r="N333" s="4" t="s">
        <v>73</v>
      </c>
      <c r="O333" s="6">
        <v>45086</v>
      </c>
      <c r="P333" s="11">
        <v>45393</v>
      </c>
      <c r="Q333" s="9">
        <f ca="1">IF(P333="",TODAY()-O333,P333-O333)</f>
        <v>307</v>
      </c>
      <c r="S333" s="5" t="s">
        <v>26</v>
      </c>
      <c r="T333" s="4" t="s">
        <v>971</v>
      </c>
      <c r="U333" s="5" t="s">
        <v>29</v>
      </c>
      <c r="V333" s="4">
        <v>937</v>
      </c>
      <c r="W333" s="5" t="s">
        <v>38</v>
      </c>
      <c r="X333" s="38" t="s">
        <v>1704</v>
      </c>
      <c r="Y333" s="44">
        <v>45143</v>
      </c>
      <c r="Z333" s="7" t="s">
        <v>1751</v>
      </c>
    </row>
    <row r="334" spans="1:26" x14ac:dyDescent="0.25">
      <c r="A334" s="7" t="s">
        <v>1702</v>
      </c>
      <c r="B334" s="7" t="s">
        <v>1071</v>
      </c>
      <c r="C334" s="5" t="s">
        <v>12</v>
      </c>
      <c r="D334" s="4" t="s">
        <v>17</v>
      </c>
      <c r="E334" s="5" t="s">
        <v>22</v>
      </c>
      <c r="F334" s="4" t="s">
        <v>964</v>
      </c>
      <c r="G334" s="9" t="s">
        <v>51</v>
      </c>
      <c r="H334" s="32">
        <v>45117</v>
      </c>
      <c r="I334" s="33">
        <v>45143</v>
      </c>
      <c r="J334" s="4" t="s">
        <v>101</v>
      </c>
      <c r="K334" s="6">
        <v>45161</v>
      </c>
      <c r="L334" s="56" t="s">
        <v>2016</v>
      </c>
      <c r="M334" s="56" t="s">
        <v>2016</v>
      </c>
      <c r="N334" s="4" t="s">
        <v>73</v>
      </c>
      <c r="O334" s="6">
        <v>45086</v>
      </c>
      <c r="P334" s="11">
        <v>45393</v>
      </c>
      <c r="Q334" s="9">
        <f ca="1">IF(P334="",TODAY()-O334,P334-O334)</f>
        <v>307</v>
      </c>
      <c r="S334" s="5" t="s">
        <v>26</v>
      </c>
      <c r="T334" s="4" t="s">
        <v>971</v>
      </c>
      <c r="U334" s="5" t="s">
        <v>29</v>
      </c>
      <c r="V334" s="4">
        <v>938</v>
      </c>
      <c r="W334" s="5" t="s">
        <v>38</v>
      </c>
      <c r="X334" s="38" t="s">
        <v>1705</v>
      </c>
      <c r="Y334" s="44">
        <v>45143</v>
      </c>
      <c r="Z334" s="7" t="s">
        <v>1752</v>
      </c>
    </row>
    <row r="335" spans="1:26" x14ac:dyDescent="0.25">
      <c r="A335" s="7" t="s">
        <v>1039</v>
      </c>
      <c r="C335" s="5" t="s">
        <v>12</v>
      </c>
      <c r="D335" s="4" t="s">
        <v>311</v>
      </c>
      <c r="E335" s="5" t="s">
        <v>25</v>
      </c>
      <c r="F335" s="4" t="s">
        <v>384</v>
      </c>
      <c r="O335" s="6">
        <v>45086</v>
      </c>
      <c r="P335" s="11">
        <v>45086</v>
      </c>
      <c r="Q335" s="9">
        <f ca="1">IF(P335="",TODAY()-O335,P335-O335)</f>
        <v>0</v>
      </c>
      <c r="R335" s="4" t="s">
        <v>896</v>
      </c>
      <c r="S335" s="5" t="s">
        <v>26</v>
      </c>
      <c r="U335" s="5" t="s">
        <v>452</v>
      </c>
      <c r="W335" s="5" t="s">
        <v>425</v>
      </c>
      <c r="Z335" s="7" t="s">
        <v>1040</v>
      </c>
    </row>
    <row r="336" spans="1:26" x14ac:dyDescent="0.25">
      <c r="A336" s="7" t="s">
        <v>1564</v>
      </c>
      <c r="B336" s="7" t="s">
        <v>1071</v>
      </c>
      <c r="C336" s="5" t="s">
        <v>12</v>
      </c>
      <c r="D336" s="4" t="s">
        <v>20</v>
      </c>
      <c r="E336" s="5" t="s">
        <v>23</v>
      </c>
      <c r="F336" s="4" t="s">
        <v>902</v>
      </c>
      <c r="G336" s="9" t="s">
        <v>51</v>
      </c>
      <c r="H336" s="32">
        <v>45157</v>
      </c>
      <c r="I336" s="33">
        <v>45178</v>
      </c>
      <c r="J336" s="4" t="s">
        <v>102</v>
      </c>
      <c r="N336" s="4" t="s">
        <v>73</v>
      </c>
      <c r="O336" s="6">
        <v>45087</v>
      </c>
      <c r="P336" s="11">
        <v>45189</v>
      </c>
      <c r="Q336" s="9">
        <f ca="1">IF(P336="",TODAY()-O336,P336-O336)</f>
        <v>102</v>
      </c>
      <c r="R336" s="4" t="s">
        <v>41</v>
      </c>
      <c r="S336" s="5" t="s">
        <v>26</v>
      </c>
      <c r="T336" s="4" t="s">
        <v>1079</v>
      </c>
      <c r="U336" s="5" t="s">
        <v>29</v>
      </c>
      <c r="V336" s="4">
        <v>939</v>
      </c>
      <c r="W336" s="5" t="s">
        <v>39</v>
      </c>
      <c r="X336" s="38" t="s">
        <v>1565</v>
      </c>
      <c r="Z336" s="7" t="s">
        <v>1628</v>
      </c>
    </row>
    <row r="337" spans="1:26" x14ac:dyDescent="0.25">
      <c r="A337" s="7" t="s">
        <v>974</v>
      </c>
      <c r="C337" s="5" t="s">
        <v>12</v>
      </c>
      <c r="D337" s="4" t="s">
        <v>20</v>
      </c>
      <c r="E337" s="5" t="s">
        <v>22</v>
      </c>
      <c r="F337" s="4" t="s">
        <v>583</v>
      </c>
      <c r="N337" s="4" t="s">
        <v>73</v>
      </c>
      <c r="O337" s="6">
        <v>45087</v>
      </c>
      <c r="Q337" s="9">
        <f ca="1">IF(P337="",TODAY()-O337,P337-O337)</f>
        <v>482</v>
      </c>
      <c r="S337" s="5" t="s">
        <v>26</v>
      </c>
      <c r="W337" s="5" t="s">
        <v>39</v>
      </c>
    </row>
    <row r="338" spans="1:26" x14ac:dyDescent="0.25">
      <c r="A338" s="7" t="s">
        <v>975</v>
      </c>
      <c r="C338" s="5" t="s">
        <v>12</v>
      </c>
      <c r="D338" s="4" t="s">
        <v>20</v>
      </c>
      <c r="E338" s="5" t="s">
        <v>24</v>
      </c>
      <c r="F338" s="4" t="s">
        <v>384</v>
      </c>
      <c r="K338" s="6">
        <v>45090</v>
      </c>
      <c r="L338" s="56"/>
      <c r="M338" s="56"/>
      <c r="N338" s="4" t="s">
        <v>9</v>
      </c>
      <c r="O338" s="6">
        <v>45089</v>
      </c>
      <c r="P338" s="11">
        <v>45090</v>
      </c>
      <c r="Q338" s="9">
        <f ca="1">IF(P338="",TODAY()-O338,P338-O338)</f>
        <v>1</v>
      </c>
      <c r="R338" s="4" t="s">
        <v>896</v>
      </c>
      <c r="S338" s="5" t="s">
        <v>631</v>
      </c>
      <c r="U338" s="5" t="s">
        <v>30</v>
      </c>
      <c r="W338" s="5" t="s">
        <v>38</v>
      </c>
    </row>
    <row r="339" spans="1:26" x14ac:dyDescent="0.25">
      <c r="A339" s="7" t="s">
        <v>975</v>
      </c>
      <c r="C339" s="5" t="s">
        <v>620</v>
      </c>
      <c r="D339" s="4" t="s">
        <v>17</v>
      </c>
      <c r="E339" s="5" t="s">
        <v>24</v>
      </c>
      <c r="F339" s="4" t="s">
        <v>384</v>
      </c>
      <c r="K339" s="6">
        <v>45090</v>
      </c>
      <c r="L339" s="56"/>
      <c r="M339" s="56"/>
      <c r="N339" s="4" t="s">
        <v>9</v>
      </c>
      <c r="O339" s="6">
        <v>45089</v>
      </c>
      <c r="P339" s="11">
        <v>45090</v>
      </c>
      <c r="Q339" s="9">
        <f ca="1">IF(P339="",TODAY()-O339,P339-O339)</f>
        <v>1</v>
      </c>
      <c r="R339" s="4" t="s">
        <v>896</v>
      </c>
      <c r="S339" s="5" t="s">
        <v>631</v>
      </c>
      <c r="U339" s="5" t="s">
        <v>30</v>
      </c>
      <c r="W339" s="5" t="s">
        <v>38</v>
      </c>
    </row>
    <row r="340" spans="1:26" x14ac:dyDescent="0.25">
      <c r="A340" s="7" t="s">
        <v>976</v>
      </c>
      <c r="B340" s="7" t="s">
        <v>1071</v>
      </c>
      <c r="C340" s="5" t="s">
        <v>12</v>
      </c>
      <c r="D340" s="4" t="s">
        <v>16</v>
      </c>
      <c r="E340" s="5" t="s">
        <v>23</v>
      </c>
      <c r="F340" s="4" t="s">
        <v>175</v>
      </c>
      <c r="G340" s="9" t="s">
        <v>51</v>
      </c>
      <c r="H340" s="32">
        <v>45120</v>
      </c>
      <c r="I340" s="33">
        <v>45147</v>
      </c>
      <c r="J340" s="4" t="s">
        <v>503</v>
      </c>
      <c r="N340" s="4" t="s">
        <v>73</v>
      </c>
      <c r="O340" s="6">
        <v>45090</v>
      </c>
      <c r="Q340" s="9">
        <f ca="1">IF(P340="",TODAY()-O340,P340-O340)</f>
        <v>479</v>
      </c>
      <c r="S340" s="5" t="s">
        <v>26</v>
      </c>
      <c r="T340" s="4" t="s">
        <v>690</v>
      </c>
      <c r="U340" s="5" t="s">
        <v>30</v>
      </c>
      <c r="W340" s="5" t="s">
        <v>38</v>
      </c>
      <c r="Z340" s="7" t="s">
        <v>1455</v>
      </c>
    </row>
    <row r="341" spans="1:26" x14ac:dyDescent="0.25">
      <c r="A341" s="7" t="s">
        <v>1430</v>
      </c>
      <c r="B341" s="7" t="s">
        <v>1071</v>
      </c>
      <c r="C341" s="5" t="s">
        <v>12</v>
      </c>
      <c r="D341" s="4" t="s">
        <v>20</v>
      </c>
      <c r="F341" s="4" t="s">
        <v>977</v>
      </c>
      <c r="N341" s="4" t="s">
        <v>73</v>
      </c>
      <c r="O341" s="6">
        <v>45091</v>
      </c>
      <c r="P341" s="11">
        <v>45103</v>
      </c>
      <c r="Q341" s="9">
        <f ca="1">IF(P341="",TODAY()-O341,P341-O341)</f>
        <v>12</v>
      </c>
      <c r="R341" s="4" t="s">
        <v>43</v>
      </c>
      <c r="S341" s="5" t="s">
        <v>28</v>
      </c>
      <c r="T341" s="4" t="s">
        <v>112</v>
      </c>
      <c r="W341" s="5" t="s">
        <v>112</v>
      </c>
      <c r="Z341" s="7" t="s">
        <v>1433</v>
      </c>
    </row>
    <row r="342" spans="1:26" x14ac:dyDescent="0.25">
      <c r="A342" s="7" t="s">
        <v>1431</v>
      </c>
      <c r="B342" s="7" t="s">
        <v>1071</v>
      </c>
      <c r="C342" s="5" t="s">
        <v>620</v>
      </c>
      <c r="D342" s="4" t="s">
        <v>20</v>
      </c>
      <c r="F342" s="4" t="s">
        <v>977</v>
      </c>
      <c r="N342" s="4" t="s">
        <v>73</v>
      </c>
      <c r="O342" s="6">
        <v>45091</v>
      </c>
      <c r="P342" s="11">
        <v>45149</v>
      </c>
      <c r="Q342" s="9">
        <f ca="1">IF(P342="",TODAY()-O342,P342-O342)</f>
        <v>58</v>
      </c>
      <c r="R342" s="4" t="s">
        <v>43</v>
      </c>
      <c r="S342" s="5" t="s">
        <v>28</v>
      </c>
      <c r="T342" s="4" t="s">
        <v>112</v>
      </c>
      <c r="W342" s="5" t="s">
        <v>112</v>
      </c>
    </row>
    <row r="343" spans="1:26" x14ac:dyDescent="0.25">
      <c r="A343" s="7" t="s">
        <v>1874</v>
      </c>
      <c r="B343" s="7" t="s">
        <v>1071</v>
      </c>
      <c r="C343" s="5" t="s">
        <v>12</v>
      </c>
      <c r="D343" s="4" t="s">
        <v>20</v>
      </c>
      <c r="E343" s="5" t="s">
        <v>24</v>
      </c>
      <c r="F343" s="4" t="s">
        <v>977</v>
      </c>
      <c r="G343" s="9" t="s">
        <v>51</v>
      </c>
      <c r="H343" s="32">
        <v>45194</v>
      </c>
      <c r="I343" s="33">
        <v>45230</v>
      </c>
      <c r="J343" s="4" t="s">
        <v>503</v>
      </c>
      <c r="K343" s="6">
        <v>45271</v>
      </c>
      <c r="L343" s="56"/>
      <c r="M343" s="56"/>
      <c r="N343" s="4" t="s">
        <v>73</v>
      </c>
      <c r="O343" s="6">
        <v>45091</v>
      </c>
      <c r="P343" s="11">
        <v>45278</v>
      </c>
      <c r="Q343" s="9">
        <f ca="1">IF(P343="",TODAY()-O343,P343-O343)</f>
        <v>187</v>
      </c>
      <c r="R343" s="4" t="s">
        <v>41</v>
      </c>
      <c r="S343" s="5" t="s">
        <v>28</v>
      </c>
      <c r="T343" s="4" t="s">
        <v>112</v>
      </c>
      <c r="U343" s="5" t="s">
        <v>30</v>
      </c>
      <c r="W343" s="5" t="s">
        <v>112</v>
      </c>
      <c r="X343" s="38" t="s">
        <v>1872</v>
      </c>
      <c r="Y343" s="44">
        <v>45194</v>
      </c>
      <c r="Z343" s="7" t="s">
        <v>1873</v>
      </c>
    </row>
    <row r="344" spans="1:26" x14ac:dyDescent="0.25">
      <c r="A344" s="7" t="s">
        <v>1021</v>
      </c>
      <c r="B344" s="7" t="s">
        <v>1071</v>
      </c>
      <c r="C344" s="5" t="s">
        <v>12</v>
      </c>
      <c r="D344" s="4" t="s">
        <v>16</v>
      </c>
      <c r="E344" s="5" t="s">
        <v>22</v>
      </c>
      <c r="F344" s="4" t="s">
        <v>964</v>
      </c>
      <c r="G344" s="9" t="s">
        <v>51</v>
      </c>
      <c r="H344" s="32">
        <v>45121</v>
      </c>
      <c r="I344" s="33">
        <v>45146</v>
      </c>
      <c r="J344" s="4" t="s">
        <v>102</v>
      </c>
      <c r="N344" s="4" t="s">
        <v>73</v>
      </c>
      <c r="O344" s="6">
        <v>45092</v>
      </c>
      <c r="P344" s="11">
        <v>45172</v>
      </c>
      <c r="Q344" s="9">
        <f ca="1">IF(P344="",TODAY()-O344,P344-O344)</f>
        <v>80</v>
      </c>
      <c r="R344" s="4" t="s">
        <v>41</v>
      </c>
      <c r="S344" s="5" t="s">
        <v>26</v>
      </c>
      <c r="T344" s="4" t="s">
        <v>114</v>
      </c>
      <c r="U344" s="5" t="s">
        <v>33</v>
      </c>
      <c r="W344" s="5" t="s">
        <v>112</v>
      </c>
      <c r="X344" s="38" t="s">
        <v>1580</v>
      </c>
      <c r="Z344" s="7" t="s">
        <v>1499</v>
      </c>
    </row>
    <row r="345" spans="1:26" x14ac:dyDescent="0.25">
      <c r="A345" s="7" t="s">
        <v>1022</v>
      </c>
      <c r="B345" s="7" t="s">
        <v>1071</v>
      </c>
      <c r="C345" s="5" t="s">
        <v>12</v>
      </c>
      <c r="D345" s="4" t="s">
        <v>16</v>
      </c>
      <c r="E345" s="5" t="s">
        <v>23</v>
      </c>
      <c r="F345" s="4" t="s">
        <v>964</v>
      </c>
      <c r="G345" s="9" t="s">
        <v>51</v>
      </c>
      <c r="H345" s="32">
        <v>45121</v>
      </c>
      <c r="I345" s="33">
        <v>45146</v>
      </c>
      <c r="J345" s="4" t="s">
        <v>102</v>
      </c>
      <c r="N345" s="4" t="s">
        <v>73</v>
      </c>
      <c r="O345" s="6">
        <v>45093</v>
      </c>
      <c r="P345" s="11">
        <v>45172</v>
      </c>
      <c r="Q345" s="9">
        <f ca="1">IF(P345="",TODAY()-O345,P345-O345)</f>
        <v>79</v>
      </c>
      <c r="R345" s="4" t="s">
        <v>41</v>
      </c>
      <c r="S345" s="5" t="s">
        <v>26</v>
      </c>
      <c r="T345" s="4" t="s">
        <v>114</v>
      </c>
      <c r="U345" s="5" t="s">
        <v>33</v>
      </c>
      <c r="W345" s="5" t="s">
        <v>112</v>
      </c>
      <c r="X345" s="38" t="s">
        <v>1582</v>
      </c>
      <c r="Z345" s="7" t="s">
        <v>1499</v>
      </c>
    </row>
    <row r="346" spans="1:26" x14ac:dyDescent="0.25">
      <c r="A346" s="7" t="s">
        <v>1027</v>
      </c>
      <c r="B346" s="7" t="s">
        <v>1071</v>
      </c>
      <c r="C346" s="5" t="s">
        <v>12</v>
      </c>
      <c r="D346" s="4" t="s">
        <v>20</v>
      </c>
      <c r="F346" s="4" t="s">
        <v>1025</v>
      </c>
      <c r="G346" s="9" t="s">
        <v>50</v>
      </c>
      <c r="H346" s="32">
        <v>45099</v>
      </c>
      <c r="I346" s="33">
        <v>45132</v>
      </c>
      <c r="J346" s="4" t="s">
        <v>503</v>
      </c>
      <c r="N346" s="4" t="s">
        <v>73</v>
      </c>
      <c r="O346" s="6">
        <v>45094</v>
      </c>
      <c r="P346" s="11">
        <v>45147</v>
      </c>
      <c r="Q346" s="9">
        <f ca="1">IF(P346="",TODAY()-O346,P346-O346)</f>
        <v>53</v>
      </c>
      <c r="R346" s="4" t="s">
        <v>43</v>
      </c>
      <c r="S346" s="5" t="s">
        <v>26</v>
      </c>
      <c r="T346" s="4" t="s">
        <v>38</v>
      </c>
      <c r="U346" s="5" t="s">
        <v>30</v>
      </c>
      <c r="W346" s="5" t="s">
        <v>38</v>
      </c>
      <c r="Z346" s="7" t="s">
        <v>1537</v>
      </c>
    </row>
    <row r="347" spans="1:26" x14ac:dyDescent="0.25">
      <c r="A347" s="7" t="s">
        <v>1028</v>
      </c>
      <c r="B347" s="7" t="s">
        <v>1071</v>
      </c>
      <c r="C347" s="5" t="s">
        <v>12</v>
      </c>
      <c r="D347" s="4" t="s">
        <v>20</v>
      </c>
      <c r="E347" s="5" t="s">
        <v>22</v>
      </c>
      <c r="F347" s="4" t="s">
        <v>1025</v>
      </c>
      <c r="G347" s="9" t="s">
        <v>50</v>
      </c>
      <c r="H347" s="32">
        <v>45099</v>
      </c>
      <c r="I347" s="33">
        <v>45132</v>
      </c>
      <c r="J347" s="4" t="s">
        <v>503</v>
      </c>
      <c r="N347" s="4" t="s">
        <v>73</v>
      </c>
      <c r="O347" s="6">
        <v>45094</v>
      </c>
      <c r="P347" s="11">
        <v>45147</v>
      </c>
      <c r="Q347" s="9">
        <f ca="1">IF(P347="",TODAY()-O347,P347-O347)</f>
        <v>53</v>
      </c>
      <c r="R347" s="4" t="s">
        <v>43</v>
      </c>
      <c r="S347" s="5" t="s">
        <v>26</v>
      </c>
      <c r="T347" s="4" t="s">
        <v>38</v>
      </c>
      <c r="U347" s="5" t="s">
        <v>30</v>
      </c>
      <c r="V347" s="4">
        <v>992</v>
      </c>
      <c r="W347" s="5" t="s">
        <v>38</v>
      </c>
      <c r="Z347" s="7" t="s">
        <v>1538</v>
      </c>
    </row>
    <row r="348" spans="1:26" x14ac:dyDescent="0.25">
      <c r="A348" s="7" t="s">
        <v>1029</v>
      </c>
      <c r="B348" s="7" t="s">
        <v>1071</v>
      </c>
      <c r="C348" s="5" t="s">
        <v>12</v>
      </c>
      <c r="D348" s="4" t="s">
        <v>1195</v>
      </c>
      <c r="E348" s="5" t="s">
        <v>22</v>
      </c>
      <c r="F348" s="4" t="s">
        <v>1025</v>
      </c>
      <c r="G348" s="9" t="s">
        <v>50</v>
      </c>
      <c r="H348" s="32">
        <v>45099</v>
      </c>
      <c r="I348" s="33">
        <v>45132</v>
      </c>
      <c r="J348" s="4" t="s">
        <v>503</v>
      </c>
      <c r="N348" s="4" t="s">
        <v>73</v>
      </c>
      <c r="O348" s="6">
        <v>45094</v>
      </c>
      <c r="P348" s="11">
        <v>45184</v>
      </c>
      <c r="Q348" s="9">
        <f ca="1">IF(P348="",TODAY()-O348,P348-O348)</f>
        <v>90</v>
      </c>
      <c r="R348" s="4" t="s">
        <v>41</v>
      </c>
      <c r="S348" s="5" t="s">
        <v>26</v>
      </c>
      <c r="T348" s="4" t="s">
        <v>38</v>
      </c>
      <c r="U348" s="5" t="s">
        <v>30</v>
      </c>
      <c r="V348" s="4">
        <v>993</v>
      </c>
      <c r="W348" s="5" t="s">
        <v>38</v>
      </c>
      <c r="X348" s="38" t="s">
        <v>1611</v>
      </c>
      <c r="Z348" s="7" t="s">
        <v>1538</v>
      </c>
    </row>
    <row r="349" spans="1:26" x14ac:dyDescent="0.25">
      <c r="A349" s="7" t="s">
        <v>1030</v>
      </c>
      <c r="B349" s="7" t="s">
        <v>1071</v>
      </c>
      <c r="C349" s="5" t="s">
        <v>12</v>
      </c>
      <c r="D349" s="4" t="s">
        <v>19</v>
      </c>
      <c r="E349" s="5" t="s">
        <v>22</v>
      </c>
      <c r="F349" s="4" t="s">
        <v>1025</v>
      </c>
      <c r="G349" s="9" t="s">
        <v>50</v>
      </c>
      <c r="H349" s="32">
        <v>45099</v>
      </c>
      <c r="I349" s="33">
        <v>45132</v>
      </c>
      <c r="J349" s="4" t="s">
        <v>503</v>
      </c>
      <c r="N349" s="4" t="s">
        <v>73</v>
      </c>
      <c r="O349" s="6">
        <v>45094</v>
      </c>
      <c r="P349" s="11">
        <v>45184</v>
      </c>
      <c r="Q349" s="9">
        <f ca="1">IF(P349="",TODAY()-O349,P349-O349)</f>
        <v>90</v>
      </c>
      <c r="R349" s="4" t="s">
        <v>41</v>
      </c>
      <c r="S349" s="5" t="s">
        <v>26</v>
      </c>
      <c r="T349" s="4" t="s">
        <v>38</v>
      </c>
      <c r="U349" s="5" t="s">
        <v>30</v>
      </c>
      <c r="W349" s="5" t="s">
        <v>38</v>
      </c>
      <c r="X349" s="38" t="s">
        <v>1609</v>
      </c>
      <c r="Z349" s="7" t="s">
        <v>1538</v>
      </c>
    </row>
    <row r="350" spans="1:26" x14ac:dyDescent="0.25">
      <c r="A350" s="7" t="s">
        <v>1031</v>
      </c>
      <c r="B350" s="7" t="s">
        <v>1071</v>
      </c>
      <c r="C350" s="5" t="s">
        <v>12</v>
      </c>
      <c r="D350" s="4" t="s">
        <v>16</v>
      </c>
      <c r="F350" s="4" t="s">
        <v>1026</v>
      </c>
      <c r="N350" s="4" t="s">
        <v>73</v>
      </c>
      <c r="O350" s="6">
        <v>45094</v>
      </c>
      <c r="P350" s="11">
        <v>45114</v>
      </c>
      <c r="Q350" s="9">
        <f ca="1">IF(P350="",TODAY()-O350,P350-O350)</f>
        <v>20</v>
      </c>
      <c r="R350" s="4" t="s">
        <v>42</v>
      </c>
      <c r="S350" s="5" t="s">
        <v>26</v>
      </c>
      <c r="T350" s="4" t="s">
        <v>38</v>
      </c>
      <c r="U350" s="5" t="s">
        <v>30</v>
      </c>
      <c r="W350" s="5" t="s">
        <v>38</v>
      </c>
      <c r="Z350" s="7" t="s">
        <v>1269</v>
      </c>
    </row>
    <row r="351" spans="1:26" x14ac:dyDescent="0.25">
      <c r="A351" s="7" t="s">
        <v>1041</v>
      </c>
      <c r="B351" s="7" t="s">
        <v>1071</v>
      </c>
      <c r="C351" s="5" t="s">
        <v>12</v>
      </c>
      <c r="D351" s="4" t="s">
        <v>20</v>
      </c>
      <c r="F351" s="4" t="s">
        <v>799</v>
      </c>
      <c r="N351" s="4" t="s">
        <v>73</v>
      </c>
      <c r="O351" s="6">
        <v>45095</v>
      </c>
      <c r="P351" s="11">
        <v>45105</v>
      </c>
      <c r="Q351" s="9">
        <f ca="1">IF(P351="",TODAY()-O351,P351-O351)</f>
        <v>10</v>
      </c>
      <c r="R351" s="4" t="s">
        <v>43</v>
      </c>
      <c r="S351" s="5" t="s">
        <v>26</v>
      </c>
      <c r="T351" s="4" t="s">
        <v>112</v>
      </c>
      <c r="W351" s="5" t="s">
        <v>39</v>
      </c>
      <c r="Z351" s="7" t="s">
        <v>1173</v>
      </c>
    </row>
    <row r="352" spans="1:26" x14ac:dyDescent="0.25">
      <c r="A352" s="7" t="s">
        <v>1072</v>
      </c>
      <c r="B352" s="7" t="s">
        <v>1071</v>
      </c>
      <c r="C352" s="5" t="s">
        <v>12</v>
      </c>
      <c r="D352" s="4" t="s">
        <v>20</v>
      </c>
      <c r="E352" s="5" t="s">
        <v>22</v>
      </c>
      <c r="F352" s="4" t="s">
        <v>384</v>
      </c>
      <c r="N352" s="4" t="s">
        <v>73</v>
      </c>
      <c r="O352" s="6">
        <v>45096</v>
      </c>
      <c r="P352" s="11">
        <v>45105</v>
      </c>
      <c r="Q352" s="9">
        <f ca="1">IF(P352="",TODAY()-O352,P352-O352)</f>
        <v>9</v>
      </c>
      <c r="R352" s="4" t="s">
        <v>431</v>
      </c>
      <c r="S352" s="5" t="s">
        <v>26</v>
      </c>
      <c r="T352" s="4" t="s">
        <v>38</v>
      </c>
      <c r="U352" s="5" t="s">
        <v>30</v>
      </c>
      <c r="W352" s="5" t="s">
        <v>38</v>
      </c>
      <c r="Z352" s="7" t="s">
        <v>1073</v>
      </c>
    </row>
    <row r="353" spans="1:26" x14ac:dyDescent="0.25">
      <c r="A353" s="7" t="s">
        <v>1082</v>
      </c>
      <c r="B353" s="7" t="s">
        <v>1071</v>
      </c>
      <c r="C353" s="5" t="s">
        <v>12</v>
      </c>
      <c r="D353" s="4" t="s">
        <v>16</v>
      </c>
      <c r="E353" s="5" t="s">
        <v>23</v>
      </c>
      <c r="F353" s="4" t="s">
        <v>384</v>
      </c>
      <c r="K353" s="6">
        <v>45098</v>
      </c>
      <c r="L353" s="56"/>
      <c r="M353" s="56"/>
      <c r="N353" s="4" t="s">
        <v>73</v>
      </c>
      <c r="O353" s="6">
        <v>45097</v>
      </c>
      <c r="Q353" s="9">
        <f ca="1">IF(P353="",TODAY()-O353,P353-O353)</f>
        <v>472</v>
      </c>
      <c r="S353" s="5" t="s">
        <v>631</v>
      </c>
      <c r="T353" s="4" t="s">
        <v>38</v>
      </c>
      <c r="U353" s="5" t="s">
        <v>30</v>
      </c>
      <c r="W353" s="5" t="s">
        <v>38</v>
      </c>
      <c r="Z353" s="7" t="s">
        <v>1087</v>
      </c>
    </row>
    <row r="354" spans="1:26" ht="30" x14ac:dyDescent="0.25">
      <c r="A354" s="28" t="s">
        <v>1083</v>
      </c>
      <c r="B354" s="28" t="s">
        <v>1071</v>
      </c>
      <c r="C354" s="14" t="s">
        <v>12</v>
      </c>
      <c r="D354" s="13" t="s">
        <v>17</v>
      </c>
      <c r="E354" s="14" t="s">
        <v>25</v>
      </c>
      <c r="F354" s="13" t="s">
        <v>600</v>
      </c>
      <c r="G354" s="15"/>
      <c r="H354" s="31"/>
      <c r="I354" s="15"/>
      <c r="J354" s="13"/>
      <c r="K354" s="16">
        <v>45097</v>
      </c>
      <c r="L354" s="57"/>
      <c r="M354" s="57"/>
      <c r="N354" s="13" t="s">
        <v>73</v>
      </c>
      <c r="O354" s="16">
        <v>45097</v>
      </c>
      <c r="P354" s="13"/>
      <c r="Q354" s="9">
        <f ca="1">IF(P354="",TODAY()-O354,P354-O354)</f>
        <v>472</v>
      </c>
      <c r="R354" s="13"/>
      <c r="S354" s="14" t="s">
        <v>27</v>
      </c>
      <c r="T354" s="13" t="s">
        <v>1159</v>
      </c>
      <c r="U354" s="14" t="s">
        <v>29</v>
      </c>
      <c r="V354" s="13">
        <v>940</v>
      </c>
      <c r="W354" s="14" t="s">
        <v>39</v>
      </c>
      <c r="X354" s="39"/>
      <c r="Y354" s="43"/>
      <c r="Z354" s="17" t="s">
        <v>1084</v>
      </c>
    </row>
    <row r="355" spans="1:26" x14ac:dyDescent="0.25">
      <c r="A355" s="7" t="s">
        <v>1085</v>
      </c>
      <c r="B355" s="7" t="s">
        <v>1071</v>
      </c>
      <c r="C355" s="5" t="s">
        <v>12</v>
      </c>
      <c r="D355" s="4" t="s">
        <v>16</v>
      </c>
      <c r="E355" s="5" t="s">
        <v>24</v>
      </c>
      <c r="F355" s="4" t="s">
        <v>384</v>
      </c>
      <c r="K355" s="6">
        <v>45098</v>
      </c>
      <c r="L355" s="56"/>
      <c r="M355" s="56"/>
      <c r="N355" s="4" t="s">
        <v>73</v>
      </c>
      <c r="O355" s="6">
        <v>45097</v>
      </c>
      <c r="P355" s="11">
        <v>45098</v>
      </c>
      <c r="Q355" s="9">
        <f ca="1">IF(P355="",TODAY()-O355,P355-O355)</f>
        <v>1</v>
      </c>
      <c r="S355" s="5" t="s">
        <v>631</v>
      </c>
      <c r="T355" s="4" t="s">
        <v>38</v>
      </c>
      <c r="U355" s="5" t="s">
        <v>30</v>
      </c>
      <c r="W355" s="5" t="s">
        <v>38</v>
      </c>
      <c r="Z355" s="7" t="s">
        <v>1086</v>
      </c>
    </row>
    <row r="356" spans="1:26" x14ac:dyDescent="0.25">
      <c r="A356" s="7" t="s">
        <v>1161</v>
      </c>
      <c r="B356" s="7" t="s">
        <v>1071</v>
      </c>
      <c r="C356" s="5" t="s">
        <v>12</v>
      </c>
      <c r="E356" s="5" t="s">
        <v>24</v>
      </c>
      <c r="F356" s="4" t="s">
        <v>384</v>
      </c>
      <c r="K356" s="6"/>
      <c r="L356" s="56"/>
      <c r="M356" s="56"/>
      <c r="O356" s="6">
        <v>45097</v>
      </c>
      <c r="P356" s="11">
        <v>45097</v>
      </c>
      <c r="Q356" s="9">
        <f ca="1">IF(P356="",TODAY()-O356,P356-O356)</f>
        <v>0</v>
      </c>
      <c r="R356" s="4" t="s">
        <v>896</v>
      </c>
      <c r="S356" s="5" t="s">
        <v>631</v>
      </c>
      <c r="U356" s="5" t="s">
        <v>33</v>
      </c>
      <c r="W356" s="5" t="s">
        <v>112</v>
      </c>
    </row>
    <row r="357" spans="1:26" x14ac:dyDescent="0.25">
      <c r="A357" s="7" t="s">
        <v>1161</v>
      </c>
      <c r="B357" s="7" t="s">
        <v>1071</v>
      </c>
      <c r="C357" s="5" t="s">
        <v>12</v>
      </c>
      <c r="E357" s="5" t="s">
        <v>24</v>
      </c>
      <c r="F357" s="4" t="s">
        <v>384</v>
      </c>
      <c r="K357" s="6"/>
      <c r="L357" s="56"/>
      <c r="M357" s="56"/>
      <c r="O357" s="6">
        <v>45097</v>
      </c>
      <c r="P357" s="11">
        <v>45097</v>
      </c>
      <c r="Q357" s="9">
        <f ca="1">IF(P357="",TODAY()-O357,P357-O357)</f>
        <v>0</v>
      </c>
      <c r="R357" s="4" t="s">
        <v>896</v>
      </c>
      <c r="S357" s="5" t="s">
        <v>631</v>
      </c>
      <c r="U357" s="5" t="s">
        <v>33</v>
      </c>
      <c r="W357" s="5" t="s">
        <v>112</v>
      </c>
    </row>
    <row r="358" spans="1:26" x14ac:dyDescent="0.25">
      <c r="A358" s="7" t="s">
        <v>1161</v>
      </c>
      <c r="B358" s="7" t="s">
        <v>1071</v>
      </c>
      <c r="C358" s="5" t="s">
        <v>12</v>
      </c>
      <c r="E358" s="5" t="s">
        <v>24</v>
      </c>
      <c r="F358" s="4" t="s">
        <v>384</v>
      </c>
      <c r="K358" s="6"/>
      <c r="L358" s="56"/>
      <c r="M358" s="56"/>
      <c r="O358" s="6">
        <v>45097</v>
      </c>
      <c r="P358" s="11">
        <v>45097</v>
      </c>
      <c r="Q358" s="9">
        <f ca="1">IF(P358="",TODAY()-O358,P358-O358)</f>
        <v>0</v>
      </c>
      <c r="R358" s="4" t="s">
        <v>896</v>
      </c>
      <c r="S358" s="5" t="s">
        <v>631</v>
      </c>
      <c r="U358" s="5" t="s">
        <v>33</v>
      </c>
      <c r="W358" s="5" t="s">
        <v>112</v>
      </c>
    </row>
    <row r="359" spans="1:26" x14ac:dyDescent="0.25">
      <c r="A359" s="7" t="s">
        <v>1337</v>
      </c>
      <c r="B359" s="7" t="s">
        <v>1071</v>
      </c>
      <c r="C359" s="5" t="s">
        <v>12</v>
      </c>
      <c r="D359" s="4" t="s">
        <v>311</v>
      </c>
      <c r="E359" s="5" t="s">
        <v>24</v>
      </c>
      <c r="F359" s="4" t="s">
        <v>2106</v>
      </c>
      <c r="G359" s="9" t="s">
        <v>51</v>
      </c>
      <c r="I359" s="33">
        <v>45126</v>
      </c>
      <c r="J359" s="4" t="s">
        <v>503</v>
      </c>
      <c r="K359" s="6"/>
      <c r="L359" s="56"/>
      <c r="M359" s="56"/>
      <c r="N359" s="4" t="s">
        <v>73</v>
      </c>
      <c r="O359" s="6">
        <v>45097</v>
      </c>
      <c r="P359" s="11"/>
      <c r="Q359" s="9">
        <f ca="1">IF(P359="",TODAY()-O359,P359-O359)</f>
        <v>472</v>
      </c>
      <c r="S359" s="5" t="s">
        <v>26</v>
      </c>
      <c r="T359" s="4" t="s">
        <v>38</v>
      </c>
      <c r="U359" s="5" t="s">
        <v>30</v>
      </c>
      <c r="W359" s="5" t="s">
        <v>38</v>
      </c>
      <c r="X359" s="38" t="s">
        <v>1910</v>
      </c>
      <c r="Y359" s="44">
        <v>45126</v>
      </c>
      <c r="Z359" s="7" t="s">
        <v>1359</v>
      </c>
    </row>
    <row r="360" spans="1:26" s="13" customFormat="1" ht="39" customHeight="1" x14ac:dyDescent="0.25">
      <c r="A360" s="7" t="s">
        <v>1341</v>
      </c>
      <c r="B360" s="7" t="s">
        <v>1071</v>
      </c>
      <c r="C360" s="5" t="s">
        <v>12</v>
      </c>
      <c r="D360" s="4" t="s">
        <v>16</v>
      </c>
      <c r="E360" s="5" t="s">
        <v>25</v>
      </c>
      <c r="F360" s="4" t="s">
        <v>1152</v>
      </c>
      <c r="G360" s="9" t="s">
        <v>51</v>
      </c>
      <c r="H360" s="32">
        <v>45131</v>
      </c>
      <c r="I360" s="33">
        <v>45154</v>
      </c>
      <c r="J360" s="4" t="s">
        <v>503</v>
      </c>
      <c r="K360" s="6">
        <v>45182</v>
      </c>
      <c r="L360" s="56"/>
      <c r="M360" s="56"/>
      <c r="N360" s="4" t="s">
        <v>73</v>
      </c>
      <c r="O360" s="6">
        <v>45098</v>
      </c>
      <c r="P360" s="11">
        <v>45232</v>
      </c>
      <c r="Q360" s="9">
        <f ca="1">IF(P360="",TODAY()-O360,P360-O360)</f>
        <v>134</v>
      </c>
      <c r="R360" s="4" t="s">
        <v>41</v>
      </c>
      <c r="S360" s="5" t="s">
        <v>631</v>
      </c>
      <c r="T360" s="4" t="s">
        <v>38</v>
      </c>
      <c r="U360" s="5" t="s">
        <v>30</v>
      </c>
      <c r="V360" s="4"/>
      <c r="W360" s="5" t="s">
        <v>38</v>
      </c>
      <c r="X360" s="38" t="s">
        <v>1765</v>
      </c>
      <c r="Y360" s="44">
        <v>45131</v>
      </c>
      <c r="Z360" s="7" t="s">
        <v>1766</v>
      </c>
    </row>
    <row r="361" spans="1:26" x14ac:dyDescent="0.25">
      <c r="A361" s="7" t="s">
        <v>1161</v>
      </c>
      <c r="B361" s="7" t="s">
        <v>1071</v>
      </c>
      <c r="C361" s="5" t="s">
        <v>12</v>
      </c>
      <c r="E361" s="5" t="s">
        <v>22</v>
      </c>
      <c r="F361" s="4" t="s">
        <v>384</v>
      </c>
      <c r="K361" s="6"/>
      <c r="L361" s="56"/>
      <c r="M361" s="56"/>
      <c r="N361" s="4" t="s">
        <v>9</v>
      </c>
      <c r="O361" s="6">
        <v>45099</v>
      </c>
      <c r="P361" s="11">
        <v>45099</v>
      </c>
      <c r="Q361" s="9">
        <f ca="1">IF(P361="",TODAY()-O361,P361-O361)</f>
        <v>0</v>
      </c>
      <c r="R361" s="4" t="s">
        <v>42</v>
      </c>
      <c r="S361" s="5" t="s">
        <v>631</v>
      </c>
      <c r="U361" s="5" t="s">
        <v>33</v>
      </c>
      <c r="W361" s="5" t="s">
        <v>112</v>
      </c>
      <c r="Z361" s="7" t="s">
        <v>1153</v>
      </c>
    </row>
    <row r="362" spans="1:26" x14ac:dyDescent="0.25">
      <c r="A362" s="28" t="s">
        <v>1352</v>
      </c>
      <c r="B362" s="28" t="s">
        <v>1071</v>
      </c>
      <c r="C362" s="14" t="s">
        <v>12</v>
      </c>
      <c r="D362" s="13" t="s">
        <v>713</v>
      </c>
      <c r="E362" s="14" t="s">
        <v>23</v>
      </c>
      <c r="F362" s="13" t="s">
        <v>1160</v>
      </c>
      <c r="G362" s="15"/>
      <c r="H362" s="31"/>
      <c r="I362" s="15"/>
      <c r="J362" s="13"/>
      <c r="K362" s="16"/>
      <c r="L362" s="57"/>
      <c r="M362" s="57"/>
      <c r="N362" s="13" t="s">
        <v>73</v>
      </c>
      <c r="O362" s="16">
        <v>45099</v>
      </c>
      <c r="P362" s="36">
        <v>45133</v>
      </c>
      <c r="Q362" s="9">
        <f ca="1">IF(P362="",TODAY()-O362,P362-O362)</f>
        <v>34</v>
      </c>
      <c r="R362" s="13" t="s">
        <v>42</v>
      </c>
      <c r="S362" s="14" t="s">
        <v>631</v>
      </c>
      <c r="T362" s="13" t="s">
        <v>112</v>
      </c>
      <c r="U362" s="14" t="s">
        <v>33</v>
      </c>
      <c r="V362" s="13"/>
      <c r="W362" s="14" t="s">
        <v>112</v>
      </c>
      <c r="X362" s="39"/>
      <c r="Y362" s="43"/>
      <c r="Z362" s="28" t="s">
        <v>1354</v>
      </c>
    </row>
    <row r="363" spans="1:26" x14ac:dyDescent="0.25">
      <c r="A363" s="7" t="s">
        <v>1163</v>
      </c>
      <c r="B363" s="7" t="s">
        <v>1071</v>
      </c>
      <c r="C363" s="5" t="s">
        <v>12</v>
      </c>
      <c r="D363" s="4" t="s">
        <v>17</v>
      </c>
      <c r="E363" s="5" t="s">
        <v>24</v>
      </c>
      <c r="F363" s="4" t="s">
        <v>560</v>
      </c>
      <c r="G363" s="9" t="s">
        <v>51</v>
      </c>
      <c r="J363" s="4" t="s">
        <v>102</v>
      </c>
      <c r="K363" s="6">
        <v>44671</v>
      </c>
      <c r="L363" s="56"/>
      <c r="M363" s="56"/>
      <c r="N363" s="4" t="s">
        <v>73</v>
      </c>
      <c r="O363" s="6">
        <v>45103</v>
      </c>
      <c r="Q363" s="9">
        <f ca="1">IF(P363="",TODAY()-O363,P363-O363)</f>
        <v>466</v>
      </c>
      <c r="S363" s="5" t="s">
        <v>27</v>
      </c>
      <c r="T363" s="4" t="s">
        <v>114</v>
      </c>
      <c r="W363" s="5" t="s">
        <v>39</v>
      </c>
    </row>
    <row r="364" spans="1:26" x14ac:dyDescent="0.25">
      <c r="A364" s="7" t="s">
        <v>1426</v>
      </c>
      <c r="B364" s="7" t="s">
        <v>1071</v>
      </c>
      <c r="C364" s="5" t="s">
        <v>12</v>
      </c>
      <c r="D364" s="4" t="s">
        <v>16</v>
      </c>
      <c r="E364" s="5" t="s">
        <v>23</v>
      </c>
      <c r="F364" s="4" t="s">
        <v>583</v>
      </c>
      <c r="G364" s="9" t="s">
        <v>51</v>
      </c>
      <c r="H364" s="32">
        <v>45106</v>
      </c>
      <c r="I364" s="33">
        <v>45127</v>
      </c>
      <c r="J364" s="4" t="s">
        <v>503</v>
      </c>
      <c r="N364" s="4" t="s">
        <v>73</v>
      </c>
      <c r="O364" s="6">
        <v>45103</v>
      </c>
      <c r="P364" s="11">
        <v>45151</v>
      </c>
      <c r="Q364" s="9">
        <f ca="1">IF(P364="",TODAY()-O364,P364-O364)</f>
        <v>48</v>
      </c>
      <c r="R364" s="4" t="s">
        <v>41</v>
      </c>
      <c r="S364" s="5" t="s">
        <v>27</v>
      </c>
      <c r="T364" s="4" t="s">
        <v>199</v>
      </c>
      <c r="U364" s="5" t="s">
        <v>30</v>
      </c>
      <c r="W364" s="5" t="s">
        <v>112</v>
      </c>
      <c r="X364" s="38" t="s">
        <v>1434</v>
      </c>
      <c r="Z364" s="7" t="s">
        <v>1428</v>
      </c>
    </row>
    <row r="365" spans="1:26" x14ac:dyDescent="0.25">
      <c r="A365" s="7" t="s">
        <v>1427</v>
      </c>
      <c r="B365" s="7" t="s">
        <v>1071</v>
      </c>
      <c r="C365" s="5" t="s">
        <v>12</v>
      </c>
      <c r="D365" s="4" t="s">
        <v>311</v>
      </c>
      <c r="E365" s="5" t="s">
        <v>23</v>
      </c>
      <c r="F365" s="4" t="s">
        <v>583</v>
      </c>
      <c r="G365" s="9" t="s">
        <v>51</v>
      </c>
      <c r="H365" s="32">
        <v>45106</v>
      </c>
      <c r="I365" s="33">
        <v>45127</v>
      </c>
      <c r="J365" s="4" t="s">
        <v>503</v>
      </c>
      <c r="N365" s="4" t="s">
        <v>73</v>
      </c>
      <c r="O365" s="6">
        <v>45103</v>
      </c>
      <c r="P365" s="11">
        <v>45151</v>
      </c>
      <c r="Q365" s="9">
        <f ca="1">IF(P365="",TODAY()-O365,P365-O365)</f>
        <v>48</v>
      </c>
      <c r="R365" s="4" t="s">
        <v>41</v>
      </c>
      <c r="S365" s="5" t="s">
        <v>27</v>
      </c>
      <c r="T365" s="4" t="s">
        <v>199</v>
      </c>
      <c r="U365" s="5" t="s">
        <v>30</v>
      </c>
      <c r="W365" s="5" t="s">
        <v>112</v>
      </c>
      <c r="X365" s="38" t="s">
        <v>1435</v>
      </c>
      <c r="Z365" s="7" t="s">
        <v>1428</v>
      </c>
    </row>
    <row r="366" spans="1:26" x14ac:dyDescent="0.25">
      <c r="A366" s="7" t="s">
        <v>1174</v>
      </c>
      <c r="B366" s="7" t="s">
        <v>1071</v>
      </c>
      <c r="C366" s="5" t="s">
        <v>12</v>
      </c>
      <c r="D366" s="4" t="s">
        <v>14</v>
      </c>
      <c r="E366" s="5" t="s">
        <v>24</v>
      </c>
      <c r="F366" s="4" t="s">
        <v>384</v>
      </c>
      <c r="K366" s="6">
        <v>45105</v>
      </c>
      <c r="L366" s="56"/>
      <c r="M366" s="56"/>
      <c r="N366" s="4" t="s">
        <v>9</v>
      </c>
      <c r="O366" s="6">
        <v>45104</v>
      </c>
      <c r="P366" s="11">
        <v>45106</v>
      </c>
      <c r="Q366" s="9">
        <f ca="1">IF(P366="",TODAY()-O366,P366-O366)</f>
        <v>2</v>
      </c>
      <c r="R366" s="4" t="s">
        <v>896</v>
      </c>
      <c r="S366" s="5" t="s">
        <v>631</v>
      </c>
      <c r="U366" s="5" t="s">
        <v>29</v>
      </c>
      <c r="V366" s="4">
        <v>941</v>
      </c>
      <c r="W366" s="5" t="s">
        <v>39</v>
      </c>
      <c r="Z366" s="7" t="s">
        <v>1300</v>
      </c>
    </row>
    <row r="367" spans="1:26" x14ac:dyDescent="0.25">
      <c r="A367" s="7" t="s">
        <v>1175</v>
      </c>
      <c r="B367" s="7" t="s">
        <v>1071</v>
      </c>
      <c r="C367" s="5" t="s">
        <v>12</v>
      </c>
      <c r="D367" s="4" t="s">
        <v>20</v>
      </c>
      <c r="E367" s="5" t="s">
        <v>24</v>
      </c>
      <c r="F367" s="4" t="s">
        <v>384</v>
      </c>
      <c r="K367" s="6">
        <v>45105</v>
      </c>
      <c r="N367" s="4" t="s">
        <v>9</v>
      </c>
      <c r="O367" s="6">
        <v>45104</v>
      </c>
      <c r="P367" s="11">
        <v>45106</v>
      </c>
      <c r="Q367" s="9">
        <f ca="1">IF(P367="",TODAY()-O367,P367-O367)</f>
        <v>2</v>
      </c>
      <c r="R367" s="4" t="s">
        <v>896</v>
      </c>
      <c r="S367" s="5" t="s">
        <v>631</v>
      </c>
      <c r="U367" s="5" t="s">
        <v>29</v>
      </c>
      <c r="V367" s="4">
        <v>942</v>
      </c>
      <c r="W367" s="5" t="s">
        <v>39</v>
      </c>
    </row>
    <row r="368" spans="1:26" x14ac:dyDescent="0.25">
      <c r="A368" s="7" t="s">
        <v>1194</v>
      </c>
      <c r="B368" s="7" t="s">
        <v>1071</v>
      </c>
      <c r="C368" s="5" t="s">
        <v>12</v>
      </c>
      <c r="D368" s="4" t="s">
        <v>20</v>
      </c>
      <c r="E368" s="5" t="s">
        <v>22</v>
      </c>
      <c r="F368" s="4" t="s">
        <v>1176</v>
      </c>
      <c r="N368" s="4" t="s">
        <v>73</v>
      </c>
      <c r="O368" s="6">
        <v>45104</v>
      </c>
      <c r="Q368" s="9">
        <f ca="1">IF(P368="",TODAY()-O368,P368-O368)</f>
        <v>465</v>
      </c>
      <c r="S368" s="5" t="s">
        <v>121</v>
      </c>
      <c r="T368" s="4" t="s">
        <v>38</v>
      </c>
      <c r="W368" s="5" t="s">
        <v>38</v>
      </c>
      <c r="Z368" s="7" t="s">
        <v>1177</v>
      </c>
    </row>
    <row r="369" spans="1:26" x14ac:dyDescent="0.25">
      <c r="A369" s="7" t="s">
        <v>1168</v>
      </c>
      <c r="B369" s="7" t="s">
        <v>1071</v>
      </c>
      <c r="E369" s="5" t="s">
        <v>23</v>
      </c>
      <c r="F369" s="4" t="s">
        <v>384</v>
      </c>
      <c r="N369" s="4" t="s">
        <v>9</v>
      </c>
      <c r="O369" s="6">
        <v>45105</v>
      </c>
      <c r="P369" s="11">
        <v>45105</v>
      </c>
      <c r="Q369" s="9">
        <f ca="1">IF(P369="",TODAY()-O369,P369-O369)</f>
        <v>0</v>
      </c>
      <c r="R369" s="4" t="s">
        <v>42</v>
      </c>
      <c r="S369" s="5" t="s">
        <v>631</v>
      </c>
      <c r="U369" s="5" t="s">
        <v>33</v>
      </c>
      <c r="W369" s="5" t="s">
        <v>112</v>
      </c>
      <c r="Z369" s="7" t="s">
        <v>1169</v>
      </c>
    </row>
    <row r="370" spans="1:26" x14ac:dyDescent="0.25">
      <c r="A370" s="7" t="s">
        <v>1170</v>
      </c>
      <c r="B370" s="7" t="s">
        <v>1071</v>
      </c>
      <c r="E370" s="5" t="s">
        <v>23</v>
      </c>
      <c r="F370" s="4" t="s">
        <v>384</v>
      </c>
      <c r="N370" s="4" t="s">
        <v>9</v>
      </c>
      <c r="O370" s="6">
        <v>45105</v>
      </c>
      <c r="P370" s="11">
        <v>45105</v>
      </c>
      <c r="Q370" s="9">
        <f ca="1">IF(P370="",TODAY()-O370,P370-O370)</f>
        <v>0</v>
      </c>
      <c r="R370" s="4" t="s">
        <v>42</v>
      </c>
      <c r="S370" s="5" t="s">
        <v>631</v>
      </c>
      <c r="U370" s="5" t="s">
        <v>33</v>
      </c>
      <c r="W370" s="5" t="s">
        <v>112</v>
      </c>
      <c r="Z370" s="7" t="s">
        <v>1171</v>
      </c>
    </row>
    <row r="371" spans="1:26" x14ac:dyDescent="0.25">
      <c r="A371" s="7" t="s">
        <v>1172</v>
      </c>
      <c r="B371" s="7" t="s">
        <v>1071</v>
      </c>
      <c r="C371" s="5" t="s">
        <v>12</v>
      </c>
      <c r="D371" s="4" t="s">
        <v>17</v>
      </c>
      <c r="E371" s="5" t="s">
        <v>24</v>
      </c>
      <c r="F371" s="4" t="s">
        <v>384</v>
      </c>
      <c r="K371" s="6">
        <v>45105</v>
      </c>
      <c r="L371" s="56"/>
      <c r="M371" s="56"/>
      <c r="N371" s="4" t="s">
        <v>9</v>
      </c>
      <c r="O371" s="6">
        <v>45105</v>
      </c>
      <c r="P371" s="11">
        <v>45105</v>
      </c>
      <c r="Q371" s="9">
        <f ca="1">IF(P371="",TODAY()-O371,P371-O371)</f>
        <v>0</v>
      </c>
      <c r="R371" s="4" t="s">
        <v>896</v>
      </c>
      <c r="S371" s="5" t="s">
        <v>631</v>
      </c>
      <c r="U371" s="5" t="s">
        <v>33</v>
      </c>
      <c r="W371" s="5" t="s">
        <v>39</v>
      </c>
    </row>
    <row r="372" spans="1:26" x14ac:dyDescent="0.25">
      <c r="A372" s="7" t="s">
        <v>1360</v>
      </c>
      <c r="B372" s="7" t="s">
        <v>1071</v>
      </c>
      <c r="C372" s="5" t="s">
        <v>12</v>
      </c>
      <c r="D372" s="4" t="s">
        <v>14</v>
      </c>
      <c r="E372" s="5" t="s">
        <v>22</v>
      </c>
      <c r="F372" s="4" t="s">
        <v>1361</v>
      </c>
      <c r="G372" s="9" t="s">
        <v>50</v>
      </c>
      <c r="H372" s="32">
        <v>45133</v>
      </c>
      <c r="J372" s="4" t="s">
        <v>503</v>
      </c>
      <c r="K372" s="6"/>
      <c r="L372" s="56"/>
      <c r="M372" s="56"/>
      <c r="N372" s="4" t="s">
        <v>73</v>
      </c>
      <c r="O372" s="6">
        <v>45105</v>
      </c>
      <c r="P372" s="11"/>
      <c r="Q372" s="9">
        <f ca="1">IF(P372="",TODAY()-O372,P372-O372)</f>
        <v>464</v>
      </c>
      <c r="S372" s="5" t="s">
        <v>26</v>
      </c>
      <c r="T372" s="4" t="s">
        <v>38</v>
      </c>
      <c r="U372" s="5" t="s">
        <v>30</v>
      </c>
      <c r="W372" s="5" t="s">
        <v>38</v>
      </c>
      <c r="Z372" s="7" t="s">
        <v>1358</v>
      </c>
    </row>
    <row r="373" spans="1:26" x14ac:dyDescent="0.25">
      <c r="A373" s="7" t="s">
        <v>1189</v>
      </c>
      <c r="B373" s="7" t="s">
        <v>1071</v>
      </c>
      <c r="C373" s="5" t="s">
        <v>12</v>
      </c>
      <c r="E373" s="5" t="s">
        <v>23</v>
      </c>
      <c r="F373" s="4" t="s">
        <v>384</v>
      </c>
      <c r="G373" s="9" t="s">
        <v>50</v>
      </c>
      <c r="H373" s="32">
        <v>45132</v>
      </c>
      <c r="I373" s="33">
        <v>45140</v>
      </c>
      <c r="J373" s="4" t="s">
        <v>101</v>
      </c>
      <c r="K373" s="6">
        <v>45140</v>
      </c>
      <c r="L373" s="56"/>
      <c r="M373" s="56"/>
      <c r="N373" s="4" t="s">
        <v>73</v>
      </c>
      <c r="O373" s="6">
        <v>45106</v>
      </c>
      <c r="Q373" s="9">
        <f ca="1">IF(P373="",TODAY()-O373,P373-O373)</f>
        <v>463</v>
      </c>
      <c r="S373" s="5" t="s">
        <v>26</v>
      </c>
      <c r="T373" s="4" t="s">
        <v>378</v>
      </c>
      <c r="U373" s="5" t="s">
        <v>29</v>
      </c>
      <c r="V373" s="4">
        <v>956</v>
      </c>
      <c r="W373" s="5" t="s">
        <v>39</v>
      </c>
      <c r="X373" s="38" t="s">
        <v>1696</v>
      </c>
      <c r="Y373" s="44">
        <v>45140</v>
      </c>
      <c r="Z373" s="7" t="s">
        <v>1356</v>
      </c>
    </row>
    <row r="374" spans="1:26" s="13" customFormat="1" ht="30" x14ac:dyDescent="0.25">
      <c r="A374" s="7" t="s">
        <v>1583</v>
      </c>
      <c r="B374" s="7" t="s">
        <v>1071</v>
      </c>
      <c r="C374" s="5" t="s">
        <v>12</v>
      </c>
      <c r="D374" s="4" t="s">
        <v>16</v>
      </c>
      <c r="E374" s="5" t="s">
        <v>22</v>
      </c>
      <c r="F374" s="46" t="s">
        <v>1737</v>
      </c>
      <c r="G374" s="9" t="s">
        <v>50</v>
      </c>
      <c r="H374" s="32">
        <v>45132</v>
      </c>
      <c r="I374" s="33">
        <v>45162</v>
      </c>
      <c r="J374" s="4" t="s">
        <v>101</v>
      </c>
      <c r="K374" s="5"/>
      <c r="L374" s="7"/>
      <c r="M374" s="7"/>
      <c r="N374" s="4" t="s">
        <v>73</v>
      </c>
      <c r="O374" s="6">
        <v>45106</v>
      </c>
      <c r="P374" s="11">
        <v>45178</v>
      </c>
      <c r="Q374" s="9">
        <f ca="1">IF(P374="",TODAY()-O374,P374-O374)</f>
        <v>72</v>
      </c>
      <c r="R374" s="4" t="s">
        <v>41</v>
      </c>
      <c r="S374" s="5" t="s">
        <v>26</v>
      </c>
      <c r="T374" s="4" t="s">
        <v>378</v>
      </c>
      <c r="U374" s="5" t="s">
        <v>29</v>
      </c>
      <c r="V374" s="4">
        <v>956.1</v>
      </c>
      <c r="W374" s="5" t="s">
        <v>39</v>
      </c>
      <c r="X374" s="38" t="s">
        <v>1584</v>
      </c>
      <c r="Y374" s="44">
        <v>45162</v>
      </c>
      <c r="Z374" s="7" t="s">
        <v>1585</v>
      </c>
    </row>
    <row r="375" spans="1:26" ht="14.25" customHeight="1" x14ac:dyDescent="0.25">
      <c r="A375" s="7" t="s">
        <v>1734</v>
      </c>
      <c r="B375" s="7" t="s">
        <v>1071</v>
      </c>
      <c r="C375" s="5" t="s">
        <v>12</v>
      </c>
      <c r="D375" s="4" t="s">
        <v>17</v>
      </c>
      <c r="E375" s="5" t="s">
        <v>23</v>
      </c>
      <c r="F375" s="46" t="s">
        <v>1737</v>
      </c>
      <c r="G375" s="9" t="s">
        <v>50</v>
      </c>
      <c r="H375" s="32">
        <v>45132</v>
      </c>
      <c r="I375" s="33">
        <v>45162</v>
      </c>
      <c r="J375" s="4" t="s">
        <v>101</v>
      </c>
      <c r="N375" s="4" t="s">
        <v>73</v>
      </c>
      <c r="O375" s="6">
        <v>45106</v>
      </c>
      <c r="P375" s="11">
        <v>45215</v>
      </c>
      <c r="Q375" s="9">
        <f ca="1">IF(P375="",TODAY()-O375,P375-O375)</f>
        <v>109</v>
      </c>
      <c r="R375" s="4" t="s">
        <v>41</v>
      </c>
      <c r="S375" s="5" t="s">
        <v>26</v>
      </c>
      <c r="T375" s="4" t="s">
        <v>378</v>
      </c>
      <c r="U375" s="5" t="s">
        <v>29</v>
      </c>
      <c r="V375" s="4">
        <v>956.2</v>
      </c>
      <c r="W375" s="5" t="s">
        <v>39</v>
      </c>
      <c r="X375" s="38" t="s">
        <v>1698</v>
      </c>
      <c r="Y375" s="44">
        <v>45162</v>
      </c>
      <c r="Z375" s="7" t="s">
        <v>1732</v>
      </c>
    </row>
    <row r="376" spans="1:26" ht="30" x14ac:dyDescent="0.25">
      <c r="A376" s="28" t="s">
        <v>1735</v>
      </c>
      <c r="B376" s="28" t="s">
        <v>1071</v>
      </c>
      <c r="C376" s="14" t="s">
        <v>12</v>
      </c>
      <c r="D376" s="13" t="s">
        <v>17</v>
      </c>
      <c r="E376" s="14" t="s">
        <v>22</v>
      </c>
      <c r="F376" s="58" t="s">
        <v>1737</v>
      </c>
      <c r="G376" s="15" t="s">
        <v>50</v>
      </c>
      <c r="H376" s="35">
        <v>45132</v>
      </c>
      <c r="I376" s="34">
        <v>45162</v>
      </c>
      <c r="J376" s="13" t="s">
        <v>101</v>
      </c>
      <c r="K376" s="14"/>
      <c r="L376" s="28"/>
      <c r="M376" s="28"/>
      <c r="N376" s="13" t="s">
        <v>73</v>
      </c>
      <c r="O376" s="16">
        <v>45106</v>
      </c>
      <c r="P376" s="36">
        <v>45251</v>
      </c>
      <c r="Q376" s="9">
        <f ca="1">IF(P376="",TODAY()-O376,P376-O376)</f>
        <v>145</v>
      </c>
      <c r="R376" s="13" t="s">
        <v>41</v>
      </c>
      <c r="S376" s="14" t="s">
        <v>26</v>
      </c>
      <c r="T376" s="13" t="s">
        <v>378</v>
      </c>
      <c r="U376" s="14" t="s">
        <v>29</v>
      </c>
      <c r="V376" s="13">
        <v>956.3</v>
      </c>
      <c r="W376" s="14" t="s">
        <v>39</v>
      </c>
      <c r="X376" s="39" t="s">
        <v>1699</v>
      </c>
      <c r="Y376" s="59">
        <v>45162</v>
      </c>
      <c r="Z376" s="28" t="s">
        <v>1732</v>
      </c>
    </row>
    <row r="377" spans="1:26" ht="30" x14ac:dyDescent="0.25">
      <c r="A377" s="7" t="s">
        <v>1736</v>
      </c>
      <c r="B377" s="7" t="s">
        <v>1071</v>
      </c>
      <c r="C377" s="5" t="s">
        <v>12</v>
      </c>
      <c r="D377" s="4" t="s">
        <v>20</v>
      </c>
      <c r="E377" s="5" t="s">
        <v>22</v>
      </c>
      <c r="F377" s="46" t="s">
        <v>1737</v>
      </c>
      <c r="G377" s="9" t="s">
        <v>50</v>
      </c>
      <c r="H377" s="32">
        <v>45132</v>
      </c>
      <c r="I377" s="33">
        <v>45162</v>
      </c>
      <c r="J377" s="4" t="s">
        <v>101</v>
      </c>
      <c r="K377" s="6">
        <v>45273</v>
      </c>
      <c r="L377" s="56"/>
      <c r="M377" s="56"/>
      <c r="N377" s="4" t="s">
        <v>73</v>
      </c>
      <c r="O377" s="6">
        <v>45106</v>
      </c>
      <c r="P377" s="11">
        <v>45279</v>
      </c>
      <c r="Q377" s="9">
        <f ca="1">IF(P377="",TODAY()-O377,P377-O377)</f>
        <v>173</v>
      </c>
      <c r="R377" s="4" t="s">
        <v>41</v>
      </c>
      <c r="S377" s="5" t="s">
        <v>26</v>
      </c>
      <c r="T377" s="4" t="s">
        <v>378</v>
      </c>
      <c r="U377" s="5" t="s">
        <v>29</v>
      </c>
      <c r="V377" s="4">
        <v>956.4</v>
      </c>
      <c r="W377" s="5" t="s">
        <v>39</v>
      </c>
      <c r="X377" s="38" t="s">
        <v>1697</v>
      </c>
      <c r="Y377" s="44">
        <v>45162</v>
      </c>
      <c r="Z377" s="7" t="s">
        <v>1963</v>
      </c>
    </row>
    <row r="378" spans="1:26" x14ac:dyDescent="0.25">
      <c r="A378" s="7" t="s">
        <v>1375</v>
      </c>
      <c r="B378" s="7" t="s">
        <v>1071</v>
      </c>
      <c r="C378" s="5" t="s">
        <v>12</v>
      </c>
      <c r="D378" s="4" t="s">
        <v>17</v>
      </c>
      <c r="E378" s="5" t="s">
        <v>25</v>
      </c>
      <c r="F378" s="4" t="s">
        <v>384</v>
      </c>
      <c r="G378" s="9" t="s">
        <v>50</v>
      </c>
      <c r="H378" s="32">
        <v>45138</v>
      </c>
      <c r="I378" s="33">
        <v>45167</v>
      </c>
      <c r="J378" s="4" t="s">
        <v>101</v>
      </c>
      <c r="K378" s="6">
        <v>45138</v>
      </c>
      <c r="L378" s="56"/>
      <c r="M378" s="56"/>
      <c r="N378" s="4" t="s">
        <v>73</v>
      </c>
      <c r="O378" s="6">
        <v>45106</v>
      </c>
      <c r="P378" s="11">
        <v>45187</v>
      </c>
      <c r="Q378" s="9">
        <f ca="1">IF(P378="",TODAY()-O378,P378-O378)</f>
        <v>81</v>
      </c>
      <c r="R378" s="4" t="s">
        <v>41</v>
      </c>
      <c r="S378" s="5" t="s">
        <v>26</v>
      </c>
      <c r="T378" s="4" t="s">
        <v>112</v>
      </c>
      <c r="U378" s="5" t="s">
        <v>29</v>
      </c>
      <c r="V378" s="4">
        <v>966</v>
      </c>
      <c r="W378" s="5" t="s">
        <v>39</v>
      </c>
      <c r="X378" s="38" t="s">
        <v>1402</v>
      </c>
      <c r="Z378" s="7" t="s">
        <v>1403</v>
      </c>
    </row>
    <row r="379" spans="1:26" x14ac:dyDescent="0.25">
      <c r="A379" s="7" t="s">
        <v>1190</v>
      </c>
      <c r="B379" s="7" t="s">
        <v>1071</v>
      </c>
      <c r="C379" s="5" t="s">
        <v>12</v>
      </c>
      <c r="D379" s="4" t="s">
        <v>311</v>
      </c>
      <c r="E379" s="5" t="s">
        <v>23</v>
      </c>
      <c r="F379" s="11">
        <v>45054</v>
      </c>
      <c r="G379" s="9" t="s">
        <v>50</v>
      </c>
      <c r="H379" s="32">
        <v>45125</v>
      </c>
      <c r="I379" s="33">
        <v>45159</v>
      </c>
      <c r="J379" s="4" t="s">
        <v>102</v>
      </c>
      <c r="N379" s="4" t="s">
        <v>73</v>
      </c>
      <c r="O379" s="6">
        <v>45106</v>
      </c>
      <c r="P379" s="11">
        <v>45187</v>
      </c>
      <c r="Q379" s="9">
        <f ca="1">IF(P379="",TODAY()-O379,P379-O379)</f>
        <v>81</v>
      </c>
      <c r="R379" s="4" t="s">
        <v>41</v>
      </c>
      <c r="S379" s="5" t="s">
        <v>26</v>
      </c>
      <c r="T379" s="4" t="s">
        <v>214</v>
      </c>
      <c r="U379" s="5" t="s">
        <v>33</v>
      </c>
      <c r="W379" s="5" t="s">
        <v>39</v>
      </c>
      <c r="X379" s="38" t="s">
        <v>1620</v>
      </c>
      <c r="Z379" s="7" t="s">
        <v>1617</v>
      </c>
    </row>
    <row r="380" spans="1:26" x14ac:dyDescent="0.25">
      <c r="A380" s="7" t="s">
        <v>1191</v>
      </c>
      <c r="B380" s="7" t="s">
        <v>1071</v>
      </c>
      <c r="C380" s="5" t="s">
        <v>12</v>
      </c>
      <c r="D380" s="4" t="s">
        <v>311</v>
      </c>
      <c r="E380" s="5" t="s">
        <v>23</v>
      </c>
      <c r="F380" s="11">
        <v>45054</v>
      </c>
      <c r="G380" s="9" t="s">
        <v>50</v>
      </c>
      <c r="H380" s="32">
        <v>45125</v>
      </c>
      <c r="I380" s="33">
        <v>45159</v>
      </c>
      <c r="J380" s="4" t="s">
        <v>102</v>
      </c>
      <c r="N380" s="4" t="s">
        <v>73</v>
      </c>
      <c r="O380" s="6">
        <v>45106</v>
      </c>
      <c r="P380" s="11">
        <v>45187</v>
      </c>
      <c r="Q380" s="9">
        <f ca="1">IF(P380="",TODAY()-O380,P380-O380)</f>
        <v>81</v>
      </c>
      <c r="R380" s="4" t="s">
        <v>41</v>
      </c>
      <c r="S380" s="5" t="s">
        <v>26</v>
      </c>
      <c r="T380" s="4" t="s">
        <v>214</v>
      </c>
      <c r="U380" s="5" t="s">
        <v>33</v>
      </c>
      <c r="W380" s="5" t="s">
        <v>39</v>
      </c>
      <c r="X380" s="38" t="s">
        <v>1616</v>
      </c>
      <c r="Z380" s="7" t="s">
        <v>1617</v>
      </c>
    </row>
    <row r="381" spans="1:26" x14ac:dyDescent="0.25">
      <c r="A381" s="7" t="s">
        <v>1192</v>
      </c>
      <c r="B381" s="7" t="s">
        <v>1071</v>
      </c>
      <c r="C381" s="5" t="s">
        <v>12</v>
      </c>
      <c r="D381" s="4" t="s">
        <v>311</v>
      </c>
      <c r="E381" s="5" t="s">
        <v>23</v>
      </c>
      <c r="F381" s="11">
        <v>45054</v>
      </c>
      <c r="G381" s="9" t="s">
        <v>50</v>
      </c>
      <c r="H381" s="32">
        <v>45125</v>
      </c>
      <c r="I381" s="33">
        <v>45159</v>
      </c>
      <c r="J381" s="4" t="s">
        <v>102</v>
      </c>
      <c r="N381" s="4" t="s">
        <v>73</v>
      </c>
      <c r="O381" s="6">
        <v>45106</v>
      </c>
      <c r="P381" s="11">
        <v>45187</v>
      </c>
      <c r="Q381" s="9">
        <f ca="1">IF(P381="",TODAY()-O381,P381-O381)</f>
        <v>81</v>
      </c>
      <c r="R381" s="4" t="s">
        <v>41</v>
      </c>
      <c r="S381" s="5" t="s">
        <v>26</v>
      </c>
      <c r="T381" s="4" t="s">
        <v>214</v>
      </c>
      <c r="U381" s="5" t="s">
        <v>33</v>
      </c>
      <c r="W381" s="5" t="s">
        <v>39</v>
      </c>
      <c r="X381" s="38" t="s">
        <v>1622</v>
      </c>
      <c r="Z381" s="7" t="s">
        <v>1617</v>
      </c>
    </row>
    <row r="382" spans="1:26" x14ac:dyDescent="0.25">
      <c r="A382" s="7" t="s">
        <v>1193</v>
      </c>
      <c r="B382" s="7" t="s">
        <v>1071</v>
      </c>
      <c r="C382" s="5" t="s">
        <v>12</v>
      </c>
      <c r="D382" s="4" t="s">
        <v>311</v>
      </c>
      <c r="E382" s="5" t="s">
        <v>23</v>
      </c>
      <c r="F382" s="11">
        <v>45115</v>
      </c>
      <c r="N382" s="4" t="s">
        <v>73</v>
      </c>
      <c r="O382" s="6">
        <v>45107</v>
      </c>
      <c r="Q382" s="9">
        <f ca="1">IF(P382="",TODAY()-O382,P382-O382)</f>
        <v>462</v>
      </c>
      <c r="R382" s="4" t="s">
        <v>431</v>
      </c>
      <c r="S382" s="5" t="s">
        <v>26</v>
      </c>
      <c r="T382" s="4" t="s">
        <v>1019</v>
      </c>
      <c r="W382" s="5" t="s">
        <v>39</v>
      </c>
      <c r="Z382" s="7" t="s">
        <v>1196</v>
      </c>
    </row>
    <row r="383" spans="1:26" x14ac:dyDescent="0.25">
      <c r="A383" s="7" t="s">
        <v>1197</v>
      </c>
      <c r="B383" s="7" t="s">
        <v>1071</v>
      </c>
      <c r="C383" s="5" t="s">
        <v>12</v>
      </c>
      <c r="D383" s="4" t="s">
        <v>1195</v>
      </c>
      <c r="E383" s="5" t="s">
        <v>22</v>
      </c>
      <c r="F383" s="4" t="s">
        <v>902</v>
      </c>
      <c r="G383" s="9" t="s">
        <v>50</v>
      </c>
      <c r="H383" s="32">
        <v>45131</v>
      </c>
      <c r="I383" s="33">
        <v>45154</v>
      </c>
      <c r="J383" s="4" t="s">
        <v>503</v>
      </c>
      <c r="N383" s="4" t="s">
        <v>73</v>
      </c>
      <c r="O383" s="6">
        <v>45107</v>
      </c>
      <c r="P383" s="11">
        <v>45171</v>
      </c>
      <c r="Q383" s="9">
        <f ca="1">IF(P383="",TODAY()-O383,P383-O383)</f>
        <v>64</v>
      </c>
      <c r="R383" s="4" t="s">
        <v>41</v>
      </c>
      <c r="S383" s="5" t="s">
        <v>26</v>
      </c>
      <c r="T383" s="4" t="s">
        <v>38</v>
      </c>
      <c r="U383" s="5" t="s">
        <v>30</v>
      </c>
      <c r="W383" s="5" t="s">
        <v>38</v>
      </c>
      <c r="X383" s="38" t="s">
        <v>1505</v>
      </c>
      <c r="Z383" s="7" t="s">
        <v>1504</v>
      </c>
    </row>
    <row r="384" spans="1:26" x14ac:dyDescent="0.25">
      <c r="A384" s="7" t="s">
        <v>2479</v>
      </c>
      <c r="B384" s="7" t="s">
        <v>1071</v>
      </c>
      <c r="C384" s="5" t="s">
        <v>12</v>
      </c>
      <c r="D384" s="4" t="s">
        <v>20</v>
      </c>
      <c r="E384" s="5" t="s">
        <v>25</v>
      </c>
      <c r="F384" s="4" t="s">
        <v>384</v>
      </c>
      <c r="N384" s="4" t="s">
        <v>73</v>
      </c>
      <c r="O384" s="6">
        <v>45107</v>
      </c>
      <c r="P384" s="11">
        <v>45129</v>
      </c>
      <c r="Q384" s="9">
        <f ca="1">IF(P384="",TODAY()-O384,P384-O384)</f>
        <v>22</v>
      </c>
      <c r="R384" s="4" t="s">
        <v>896</v>
      </c>
      <c r="S384" s="5" t="s">
        <v>26</v>
      </c>
      <c r="T384" s="4" t="s">
        <v>112</v>
      </c>
      <c r="U384" s="5" t="s">
        <v>29</v>
      </c>
      <c r="V384" s="4">
        <v>948</v>
      </c>
      <c r="W384" s="5" t="s">
        <v>112</v>
      </c>
      <c r="Z384" s="7" t="s">
        <v>1201</v>
      </c>
    </row>
    <row r="385" spans="1:26" x14ac:dyDescent="0.25">
      <c r="A385" s="7" t="s">
        <v>1275</v>
      </c>
      <c r="B385" s="7" t="s">
        <v>1071</v>
      </c>
      <c r="C385" s="5" t="s">
        <v>12</v>
      </c>
      <c r="D385" s="4" t="s">
        <v>17</v>
      </c>
      <c r="E385" s="5" t="s">
        <v>23</v>
      </c>
      <c r="F385" s="4" t="s">
        <v>964</v>
      </c>
      <c r="G385" s="9" t="s">
        <v>51</v>
      </c>
      <c r="H385" s="32">
        <v>45121</v>
      </c>
      <c r="I385" s="33">
        <v>45146</v>
      </c>
      <c r="J385" s="4" t="s">
        <v>102</v>
      </c>
      <c r="N385" s="4" t="s">
        <v>73</v>
      </c>
      <c r="O385" s="6">
        <v>45107</v>
      </c>
      <c r="P385" s="11">
        <v>45179</v>
      </c>
      <c r="Q385" s="9">
        <f ca="1">IF(P385="",TODAY()-O385,P385-O385)</f>
        <v>72</v>
      </c>
      <c r="R385" s="4" t="s">
        <v>43</v>
      </c>
      <c r="S385" s="5" t="s">
        <v>26</v>
      </c>
      <c r="T385" s="4" t="s">
        <v>114</v>
      </c>
      <c r="U385" s="5" t="s">
        <v>33</v>
      </c>
      <c r="W385" s="5" t="s">
        <v>39</v>
      </c>
      <c r="Y385" s="44">
        <v>45115</v>
      </c>
      <c r="Z385" s="7" t="s">
        <v>1506</v>
      </c>
    </row>
    <row r="386" spans="1:26" x14ac:dyDescent="0.25">
      <c r="A386" s="7" t="s">
        <v>1276</v>
      </c>
      <c r="B386" s="7" t="s">
        <v>1071</v>
      </c>
      <c r="C386" s="5" t="s">
        <v>12</v>
      </c>
      <c r="D386" s="4" t="s">
        <v>17</v>
      </c>
      <c r="E386" s="5" t="s">
        <v>24</v>
      </c>
      <c r="F386" s="4" t="s">
        <v>964</v>
      </c>
      <c r="G386" s="9" t="s">
        <v>51</v>
      </c>
      <c r="H386" s="32">
        <v>45121</v>
      </c>
      <c r="I386" s="33">
        <v>45146</v>
      </c>
      <c r="J386" s="4" t="s">
        <v>102</v>
      </c>
      <c r="K386" s="6">
        <v>45193</v>
      </c>
      <c r="L386" s="56"/>
      <c r="M386" s="56"/>
      <c r="N386" s="4" t="s">
        <v>73</v>
      </c>
      <c r="O386" s="6">
        <v>45107</v>
      </c>
      <c r="P386" s="11">
        <v>45220</v>
      </c>
      <c r="Q386" s="9">
        <f ca="1">IF(P386="",TODAY()-O386,P386-O386)</f>
        <v>113</v>
      </c>
      <c r="R386" s="4" t="s">
        <v>41</v>
      </c>
      <c r="S386" s="5" t="s">
        <v>26</v>
      </c>
      <c r="T386" s="4" t="s">
        <v>114</v>
      </c>
      <c r="U386" s="5" t="s">
        <v>33</v>
      </c>
      <c r="W386" s="5" t="s">
        <v>39</v>
      </c>
      <c r="X386" s="38" t="s">
        <v>1935</v>
      </c>
      <c r="Y386" s="44">
        <v>45115</v>
      </c>
      <c r="Z386" s="7" t="s">
        <v>1753</v>
      </c>
    </row>
    <row r="387" spans="1:26" x14ac:dyDescent="0.25">
      <c r="A387" s="7" t="s">
        <v>1202</v>
      </c>
      <c r="B387" s="7" t="s">
        <v>1071</v>
      </c>
      <c r="C387" s="5" t="s">
        <v>12</v>
      </c>
      <c r="D387" s="4" t="s">
        <v>311</v>
      </c>
      <c r="E387" s="5" t="s">
        <v>25</v>
      </c>
      <c r="F387" s="4" t="s">
        <v>384</v>
      </c>
      <c r="H387" s="32">
        <v>45121</v>
      </c>
      <c r="J387" s="4" t="s">
        <v>102</v>
      </c>
      <c r="K387" s="6">
        <v>45110</v>
      </c>
      <c r="L387" s="56"/>
      <c r="M387" s="56"/>
      <c r="N387" s="4" t="s">
        <v>73</v>
      </c>
      <c r="O387" s="6">
        <v>45109</v>
      </c>
      <c r="P387" s="11">
        <v>45115</v>
      </c>
      <c r="Q387" s="9">
        <f ca="1">IF(P387="",TODAY()-O387,P387-O387)</f>
        <v>6</v>
      </c>
      <c r="R387" s="4" t="s">
        <v>896</v>
      </c>
      <c r="S387" s="5" t="s">
        <v>631</v>
      </c>
      <c r="T387" s="4" t="s">
        <v>112</v>
      </c>
      <c r="U387" s="5" t="s">
        <v>29</v>
      </c>
      <c r="V387" s="4">
        <v>949</v>
      </c>
      <c r="W387" s="5" t="s">
        <v>39</v>
      </c>
      <c r="Z387" s="7" t="s">
        <v>1290</v>
      </c>
    </row>
    <row r="388" spans="1:26" x14ac:dyDescent="0.25">
      <c r="A388" s="7" t="s">
        <v>1369</v>
      </c>
      <c r="B388" s="7" t="s">
        <v>1071</v>
      </c>
      <c r="C388" s="5" t="s">
        <v>12</v>
      </c>
      <c r="D388" s="4" t="s">
        <v>1195</v>
      </c>
      <c r="E388" s="5" t="s">
        <v>22</v>
      </c>
      <c r="F388" s="4" t="s">
        <v>1203</v>
      </c>
      <c r="G388" s="9" t="s">
        <v>50</v>
      </c>
      <c r="H388" s="32">
        <v>45133</v>
      </c>
      <c r="J388" s="4" t="s">
        <v>503</v>
      </c>
      <c r="N388" s="4" t="s">
        <v>73</v>
      </c>
      <c r="O388" s="6">
        <v>45109</v>
      </c>
      <c r="Q388" s="9">
        <f ca="1">IF(P388="",TODAY()-O388,P388-O388)</f>
        <v>460</v>
      </c>
      <c r="S388" s="5" t="s">
        <v>26</v>
      </c>
      <c r="T388" s="4" t="s">
        <v>1367</v>
      </c>
      <c r="U388" s="5" t="s">
        <v>30</v>
      </c>
      <c r="W388" s="5" t="s">
        <v>38</v>
      </c>
      <c r="Z388" s="7" t="s">
        <v>1362</v>
      </c>
    </row>
    <row r="389" spans="1:26" x14ac:dyDescent="0.25">
      <c r="A389" s="7" t="s">
        <v>1260</v>
      </c>
      <c r="B389" s="7" t="s">
        <v>1071</v>
      </c>
      <c r="C389" s="5" t="s">
        <v>12</v>
      </c>
      <c r="D389" s="4" t="s">
        <v>17</v>
      </c>
      <c r="E389" s="5" t="s">
        <v>23</v>
      </c>
      <c r="F389" s="4" t="s">
        <v>591</v>
      </c>
      <c r="N389" s="4" t="s">
        <v>73</v>
      </c>
      <c r="O389" s="6">
        <v>45110</v>
      </c>
      <c r="P389" s="11">
        <v>45163</v>
      </c>
      <c r="Q389" s="9">
        <f ca="1">IF(P389="",TODAY()-O389,P389-O389)</f>
        <v>53</v>
      </c>
      <c r="R389" s="4" t="s">
        <v>42</v>
      </c>
      <c r="S389" s="5" t="s">
        <v>631</v>
      </c>
      <c r="T389" s="4" t="s">
        <v>112</v>
      </c>
      <c r="U389" s="5" t="s">
        <v>33</v>
      </c>
      <c r="W389" s="5" t="s">
        <v>112</v>
      </c>
      <c r="Z389" s="7" t="s">
        <v>1484</v>
      </c>
    </row>
    <row r="390" spans="1:26" x14ac:dyDescent="0.25">
      <c r="A390" s="7" t="s">
        <v>1266</v>
      </c>
      <c r="B390" s="7" t="s">
        <v>1071</v>
      </c>
      <c r="C390" s="5" t="s">
        <v>12</v>
      </c>
      <c r="D390" s="4" t="s">
        <v>20</v>
      </c>
      <c r="E390" s="5" t="s">
        <v>23</v>
      </c>
      <c r="F390" s="4" t="s">
        <v>384</v>
      </c>
      <c r="K390" s="6">
        <v>45112</v>
      </c>
      <c r="L390" s="56"/>
      <c r="M390" s="56"/>
      <c r="N390" s="4" t="s">
        <v>73</v>
      </c>
      <c r="O390" s="6">
        <v>45111</v>
      </c>
      <c r="P390" s="11">
        <v>45117</v>
      </c>
      <c r="Q390" s="9">
        <f ca="1">IF(P390="",TODAY()-O390,P390-O390)</f>
        <v>6</v>
      </c>
      <c r="R390" s="4" t="s">
        <v>896</v>
      </c>
      <c r="S390" s="5" t="s">
        <v>631</v>
      </c>
      <c r="T390" s="4" t="s">
        <v>38</v>
      </c>
      <c r="U390" s="5" t="s">
        <v>30</v>
      </c>
      <c r="W390" s="5" t="s">
        <v>38</v>
      </c>
      <c r="Z390" s="7" t="s">
        <v>1278</v>
      </c>
    </row>
    <row r="391" spans="1:26" x14ac:dyDescent="0.25">
      <c r="A391" s="7" t="s">
        <v>1787</v>
      </c>
      <c r="B391" s="7" t="s">
        <v>1071</v>
      </c>
      <c r="C391" s="5" t="s">
        <v>620</v>
      </c>
      <c r="D391" s="4" t="s">
        <v>311</v>
      </c>
      <c r="E391" s="5" t="s">
        <v>25</v>
      </c>
      <c r="F391" s="4" t="s">
        <v>494</v>
      </c>
      <c r="G391" s="9" t="s">
        <v>51</v>
      </c>
      <c r="H391" s="32">
        <v>45120</v>
      </c>
      <c r="I391" s="33">
        <v>45141</v>
      </c>
      <c r="J391" s="4" t="s">
        <v>101</v>
      </c>
      <c r="K391" s="6">
        <v>45205</v>
      </c>
      <c r="L391" s="56"/>
      <c r="M391" s="56"/>
      <c r="N391" s="4" t="s">
        <v>73</v>
      </c>
      <c r="O391" s="6">
        <v>45111</v>
      </c>
      <c r="P391" s="11">
        <v>45244</v>
      </c>
      <c r="Q391" s="9">
        <f ca="1">IF(P391="",TODAY()-O391,P391-O391)</f>
        <v>133</v>
      </c>
      <c r="R391" s="4" t="s">
        <v>41</v>
      </c>
      <c r="S391" s="5" t="s">
        <v>631</v>
      </c>
      <c r="T391" s="4" t="s">
        <v>1019</v>
      </c>
      <c r="U391" s="5" t="s">
        <v>29</v>
      </c>
      <c r="V391" s="4">
        <v>959</v>
      </c>
      <c r="W391" s="5" t="s">
        <v>38</v>
      </c>
      <c r="X391" s="38" t="s">
        <v>1670</v>
      </c>
      <c r="Y391" s="44">
        <v>45141</v>
      </c>
      <c r="Z391" s="7" t="s">
        <v>1788</v>
      </c>
    </row>
    <row r="392" spans="1:26" x14ac:dyDescent="0.25">
      <c r="A392" s="7" t="s">
        <v>2394</v>
      </c>
      <c r="B392" s="7" t="s">
        <v>1071</v>
      </c>
      <c r="C392" s="5" t="s">
        <v>12</v>
      </c>
      <c r="D392" s="4" t="s">
        <v>17</v>
      </c>
      <c r="E392" s="5" t="s">
        <v>25</v>
      </c>
      <c r="F392" s="4" t="s">
        <v>494</v>
      </c>
      <c r="G392" s="9" t="s">
        <v>51</v>
      </c>
      <c r="H392" s="32">
        <v>45120</v>
      </c>
      <c r="I392" s="33">
        <v>45141</v>
      </c>
      <c r="J392" s="4" t="s">
        <v>101</v>
      </c>
      <c r="K392" s="6">
        <v>45205</v>
      </c>
      <c r="L392" s="56"/>
      <c r="M392" s="56"/>
      <c r="N392" s="4" t="s">
        <v>73</v>
      </c>
      <c r="O392" s="6">
        <v>45111</v>
      </c>
      <c r="P392" s="11">
        <v>45479</v>
      </c>
      <c r="Q392" s="9">
        <f ca="1">IF(P392="",TODAY()-O392,P392-O392)</f>
        <v>368</v>
      </c>
      <c r="R392" s="4" t="s">
        <v>41</v>
      </c>
      <c r="S392" s="5" t="s">
        <v>631</v>
      </c>
      <c r="T392" s="4" t="s">
        <v>1019</v>
      </c>
      <c r="U392" s="5" t="s">
        <v>29</v>
      </c>
      <c r="V392" s="4">
        <v>960</v>
      </c>
      <c r="W392" s="5" t="s">
        <v>38</v>
      </c>
      <c r="X392" s="38" t="s">
        <v>1672</v>
      </c>
      <c r="Y392" s="44">
        <v>45141</v>
      </c>
      <c r="Z392" s="7" t="s">
        <v>2393</v>
      </c>
    </row>
    <row r="393" spans="1:26" x14ac:dyDescent="0.25">
      <c r="A393" s="7" t="s">
        <v>1674</v>
      </c>
      <c r="B393" s="7" t="s">
        <v>1071</v>
      </c>
      <c r="C393" s="5" t="s">
        <v>12</v>
      </c>
      <c r="D393" s="4" t="s">
        <v>17</v>
      </c>
      <c r="E393" s="5" t="s">
        <v>24</v>
      </c>
      <c r="F393" s="4" t="s">
        <v>494</v>
      </c>
      <c r="G393" s="9" t="s">
        <v>51</v>
      </c>
      <c r="H393" s="32">
        <v>45120</v>
      </c>
      <c r="I393" s="33">
        <v>45141</v>
      </c>
      <c r="J393" s="4" t="s">
        <v>101</v>
      </c>
      <c r="K393" s="6">
        <v>45205</v>
      </c>
      <c r="L393" s="56"/>
      <c r="M393" s="56"/>
      <c r="N393" s="4" t="s">
        <v>73</v>
      </c>
      <c r="O393" s="6">
        <v>45111</v>
      </c>
      <c r="P393" s="11">
        <v>45479</v>
      </c>
      <c r="Q393" s="9">
        <f ca="1">IF(P393="",TODAY()-O393,P393-O393)</f>
        <v>368</v>
      </c>
      <c r="R393" s="4" t="s">
        <v>41</v>
      </c>
      <c r="S393" s="5" t="s">
        <v>631</v>
      </c>
      <c r="T393" s="4" t="s">
        <v>1019</v>
      </c>
      <c r="U393" s="5" t="s">
        <v>29</v>
      </c>
      <c r="V393" s="4">
        <v>961</v>
      </c>
      <c r="W393" s="5" t="s">
        <v>38</v>
      </c>
      <c r="X393" s="38" t="s">
        <v>1673</v>
      </c>
      <c r="Y393" s="44">
        <v>45141</v>
      </c>
      <c r="Z393" s="7" t="s">
        <v>1788</v>
      </c>
    </row>
    <row r="394" spans="1:26" x14ac:dyDescent="0.25">
      <c r="A394" s="7" t="s">
        <v>1267</v>
      </c>
      <c r="B394" s="7" t="s">
        <v>1071</v>
      </c>
      <c r="C394" s="5" t="s">
        <v>12</v>
      </c>
      <c r="D394" s="4" t="s">
        <v>17</v>
      </c>
      <c r="E394" s="5" t="s">
        <v>22</v>
      </c>
      <c r="F394" s="4" t="s">
        <v>384</v>
      </c>
      <c r="N394" s="4" t="s">
        <v>9</v>
      </c>
      <c r="O394" s="6">
        <v>45111</v>
      </c>
      <c r="P394" s="11">
        <v>45112</v>
      </c>
      <c r="Q394" s="9">
        <f ca="1">IF(P394="",TODAY()-O394,P394-O394)</f>
        <v>1</v>
      </c>
      <c r="R394" s="4" t="s">
        <v>42</v>
      </c>
      <c r="S394" s="5" t="s">
        <v>631</v>
      </c>
      <c r="U394" s="5" t="s">
        <v>33</v>
      </c>
      <c r="W394" s="5" t="s">
        <v>112</v>
      </c>
      <c r="Z394" s="7" t="s">
        <v>1291</v>
      </c>
    </row>
    <row r="395" spans="1:26" x14ac:dyDescent="0.25">
      <c r="A395" s="7" t="s">
        <v>1791</v>
      </c>
      <c r="B395" s="7" t="s">
        <v>1071</v>
      </c>
      <c r="C395" s="5" t="s">
        <v>12</v>
      </c>
      <c r="D395" s="4" t="s">
        <v>16</v>
      </c>
      <c r="E395" s="5" t="s">
        <v>25</v>
      </c>
      <c r="F395" s="4" t="s">
        <v>384</v>
      </c>
      <c r="G395" s="9" t="s">
        <v>51</v>
      </c>
      <c r="H395" s="32">
        <v>45117</v>
      </c>
      <c r="I395" s="33">
        <v>45154</v>
      </c>
      <c r="J395" s="4" t="s">
        <v>503</v>
      </c>
      <c r="K395" s="6">
        <v>45117</v>
      </c>
      <c r="L395" s="56"/>
      <c r="M395" s="56"/>
      <c r="N395" s="4" t="s">
        <v>73</v>
      </c>
      <c r="O395" s="6">
        <v>45112</v>
      </c>
      <c r="P395" s="11">
        <v>45203</v>
      </c>
      <c r="Q395" s="9">
        <f ca="1">IF(P395="",TODAY()-O395,P395-O395)</f>
        <v>91</v>
      </c>
      <c r="R395" s="4" t="s">
        <v>41</v>
      </c>
      <c r="S395" s="5" t="s">
        <v>121</v>
      </c>
      <c r="T395" s="4" t="s">
        <v>112</v>
      </c>
      <c r="U395" s="5" t="s">
        <v>30</v>
      </c>
      <c r="W395" s="5" t="s">
        <v>39</v>
      </c>
      <c r="X395" s="38" t="s">
        <v>1296</v>
      </c>
      <c r="Y395" s="44">
        <v>45117</v>
      </c>
      <c r="Z395" s="7" t="s">
        <v>1297</v>
      </c>
    </row>
    <row r="396" spans="1:26" x14ac:dyDescent="0.25">
      <c r="A396" s="7" t="s">
        <v>1792</v>
      </c>
      <c r="B396" s="7" t="s">
        <v>1071</v>
      </c>
      <c r="C396" s="5" t="s">
        <v>12</v>
      </c>
      <c r="D396" s="4" t="s">
        <v>16</v>
      </c>
      <c r="E396" s="5" t="s">
        <v>24</v>
      </c>
      <c r="F396" s="4" t="s">
        <v>384</v>
      </c>
      <c r="G396" s="9" t="s">
        <v>51</v>
      </c>
      <c r="H396" s="32">
        <v>45117</v>
      </c>
      <c r="I396" s="33">
        <v>45154</v>
      </c>
      <c r="J396" s="4" t="s">
        <v>503</v>
      </c>
      <c r="K396" s="6">
        <v>45117</v>
      </c>
      <c r="L396" s="56"/>
      <c r="M396" s="56"/>
      <c r="N396" s="4" t="s">
        <v>73</v>
      </c>
      <c r="O396" s="6">
        <v>45112</v>
      </c>
      <c r="P396" s="11">
        <v>45203</v>
      </c>
      <c r="Q396" s="9">
        <f ca="1">IF(P396="",TODAY()-O396,P396-O396)</f>
        <v>91</v>
      </c>
      <c r="R396" s="4" t="s">
        <v>41</v>
      </c>
      <c r="S396" s="5" t="s">
        <v>121</v>
      </c>
      <c r="T396" s="4" t="s">
        <v>112</v>
      </c>
      <c r="U396" s="5" t="s">
        <v>30</v>
      </c>
      <c r="W396" s="5" t="s">
        <v>39</v>
      </c>
      <c r="X396" s="38" t="s">
        <v>1295</v>
      </c>
      <c r="Y396" s="44">
        <v>45117</v>
      </c>
      <c r="Z396" s="7" t="s">
        <v>1297</v>
      </c>
    </row>
    <row r="397" spans="1:26" x14ac:dyDescent="0.25">
      <c r="A397" s="7" t="s">
        <v>1340</v>
      </c>
      <c r="B397" s="7" t="s">
        <v>1071</v>
      </c>
      <c r="C397" s="5" t="s">
        <v>12</v>
      </c>
      <c r="D397" s="4" t="s">
        <v>14</v>
      </c>
      <c r="E397" s="5" t="s">
        <v>22</v>
      </c>
      <c r="F397" s="4" t="s">
        <v>799</v>
      </c>
      <c r="N397" s="4" t="s">
        <v>73</v>
      </c>
      <c r="O397" s="6">
        <v>45112</v>
      </c>
      <c r="P397" s="11">
        <v>45136</v>
      </c>
      <c r="Q397" s="9">
        <f ca="1">IF(P397="",TODAY()-O397,P397-O397)</f>
        <v>24</v>
      </c>
      <c r="R397" s="4" t="s">
        <v>43</v>
      </c>
      <c r="S397" s="5" t="s">
        <v>121</v>
      </c>
      <c r="T397" s="4" t="s">
        <v>112</v>
      </c>
      <c r="U397" s="5" t="s">
        <v>30</v>
      </c>
      <c r="W397" s="5" t="s">
        <v>39</v>
      </c>
      <c r="Z397" s="7" t="s">
        <v>1348</v>
      </c>
    </row>
    <row r="398" spans="1:26" x14ac:dyDescent="0.25">
      <c r="A398" s="7" t="s">
        <v>1804</v>
      </c>
      <c r="B398" s="7" t="s">
        <v>1071</v>
      </c>
      <c r="C398" s="5" t="s">
        <v>12</v>
      </c>
      <c r="D398" s="4" t="s">
        <v>17</v>
      </c>
      <c r="E398" s="5" t="s">
        <v>22</v>
      </c>
      <c r="F398" s="4" t="s">
        <v>799</v>
      </c>
      <c r="G398" s="9" t="s">
        <v>51</v>
      </c>
      <c r="H398" s="32">
        <v>45194</v>
      </c>
      <c r="I398" s="33">
        <v>45230</v>
      </c>
      <c r="J398" s="4" t="s">
        <v>503</v>
      </c>
      <c r="K398" s="6">
        <v>45252</v>
      </c>
      <c r="L398" s="56"/>
      <c r="M398" s="56"/>
      <c r="N398" s="4" t="s">
        <v>73</v>
      </c>
      <c r="O398" s="6">
        <v>45112</v>
      </c>
      <c r="P398" s="11">
        <v>45255</v>
      </c>
      <c r="Q398" s="9">
        <f ca="1">IF(P398="",TODAY()-O398,P398-O398)</f>
        <v>143</v>
      </c>
      <c r="R398" s="4" t="s">
        <v>41</v>
      </c>
      <c r="S398" s="5" t="s">
        <v>121</v>
      </c>
      <c r="T398" s="4" t="s">
        <v>112</v>
      </c>
      <c r="U398" s="5" t="s">
        <v>30</v>
      </c>
      <c r="W398" s="5" t="s">
        <v>39</v>
      </c>
      <c r="X398" s="38" t="s">
        <v>1805</v>
      </c>
      <c r="Y398" s="44">
        <v>45194</v>
      </c>
      <c r="Z398" s="7" t="s">
        <v>1964</v>
      </c>
    </row>
    <row r="399" spans="1:26" x14ac:dyDescent="0.25">
      <c r="A399" s="7" t="s">
        <v>1409</v>
      </c>
      <c r="B399" s="7" t="s">
        <v>1071</v>
      </c>
      <c r="C399" s="5" t="s">
        <v>12</v>
      </c>
      <c r="D399" s="4" t="s">
        <v>20</v>
      </c>
      <c r="E399" s="5" t="s">
        <v>23</v>
      </c>
      <c r="F399" s="4" t="s">
        <v>799</v>
      </c>
      <c r="N399" s="4" t="s">
        <v>73</v>
      </c>
      <c r="O399" s="6">
        <v>45112</v>
      </c>
      <c r="P399" s="11">
        <v>45140</v>
      </c>
      <c r="Q399" s="9">
        <f ca="1">IF(P399="",TODAY()-O399,P399-O399)</f>
        <v>28</v>
      </c>
      <c r="R399" s="4" t="s">
        <v>43</v>
      </c>
      <c r="S399" s="5" t="s">
        <v>121</v>
      </c>
      <c r="T399" s="4" t="s">
        <v>112</v>
      </c>
      <c r="U399" s="5" t="s">
        <v>30</v>
      </c>
      <c r="W399" s="5" t="s">
        <v>39</v>
      </c>
      <c r="Z399" s="7" t="s">
        <v>1349</v>
      </c>
    </row>
    <row r="400" spans="1:26" x14ac:dyDescent="0.25">
      <c r="A400" s="7" t="s">
        <v>1357</v>
      </c>
      <c r="B400" s="7" t="s">
        <v>1071</v>
      </c>
      <c r="C400" s="5" t="s">
        <v>12</v>
      </c>
      <c r="D400" s="4" t="s">
        <v>20</v>
      </c>
      <c r="E400" s="5" t="s">
        <v>23</v>
      </c>
      <c r="F400" s="4" t="s">
        <v>943</v>
      </c>
      <c r="N400" s="4" t="s">
        <v>73</v>
      </c>
      <c r="O400" s="6">
        <v>45114</v>
      </c>
      <c r="P400" s="11">
        <v>45134</v>
      </c>
      <c r="Q400" s="9">
        <f ca="1">IF(P400="",TODAY()-O400,P400-O400)</f>
        <v>20</v>
      </c>
      <c r="R400" s="4" t="s">
        <v>43</v>
      </c>
      <c r="S400" s="5" t="s">
        <v>26</v>
      </c>
      <c r="T400" s="4" t="s">
        <v>38</v>
      </c>
      <c r="U400" s="5" t="s">
        <v>30</v>
      </c>
      <c r="W400" s="5" t="s">
        <v>38</v>
      </c>
      <c r="Z400" s="7" t="s">
        <v>1306</v>
      </c>
    </row>
    <row r="401" spans="1:26" x14ac:dyDescent="0.25">
      <c r="A401" s="7" t="s">
        <v>1292</v>
      </c>
      <c r="B401" s="7" t="s">
        <v>1071</v>
      </c>
      <c r="C401" s="5" t="s">
        <v>12</v>
      </c>
      <c r="F401" s="4" t="s">
        <v>1294</v>
      </c>
      <c r="N401" s="4" t="s">
        <v>73</v>
      </c>
      <c r="O401" s="6">
        <v>45114</v>
      </c>
      <c r="P401" s="11">
        <v>45129</v>
      </c>
      <c r="Q401" s="9">
        <f ca="1">IF(P401="",TODAY()-O401,P401-O401)</f>
        <v>15</v>
      </c>
      <c r="R401" s="4" t="s">
        <v>43</v>
      </c>
      <c r="S401" s="5" t="s">
        <v>28</v>
      </c>
      <c r="T401" s="4" t="s">
        <v>112</v>
      </c>
      <c r="W401" s="5" t="s">
        <v>112</v>
      </c>
      <c r="Z401" s="7" t="s">
        <v>1432</v>
      </c>
    </row>
    <row r="402" spans="1:26" x14ac:dyDescent="0.25">
      <c r="A402" s="7" t="s">
        <v>1293</v>
      </c>
      <c r="B402" s="7" t="s">
        <v>1071</v>
      </c>
      <c r="C402" s="5" t="s">
        <v>12</v>
      </c>
      <c r="F402" s="4" t="s">
        <v>1294</v>
      </c>
      <c r="N402" s="4" t="s">
        <v>73</v>
      </c>
      <c r="O402" s="6">
        <v>45114</v>
      </c>
      <c r="P402" s="11">
        <v>45157</v>
      </c>
      <c r="Q402" s="9">
        <f ca="1">IF(P402="",TODAY()-O402,P402-O402)</f>
        <v>43</v>
      </c>
      <c r="R402" s="4" t="s">
        <v>43</v>
      </c>
      <c r="S402" s="5" t="s">
        <v>28</v>
      </c>
      <c r="T402" s="4" t="s">
        <v>112</v>
      </c>
      <c r="W402" s="5" t="s">
        <v>112</v>
      </c>
      <c r="Z402" s="7" t="s">
        <v>1476</v>
      </c>
    </row>
    <row r="403" spans="1:26" x14ac:dyDescent="0.25">
      <c r="A403" s="7" t="s">
        <v>1648</v>
      </c>
      <c r="B403" s="7" t="s">
        <v>1071</v>
      </c>
      <c r="C403" s="5" t="s">
        <v>12</v>
      </c>
      <c r="D403" s="4" t="s">
        <v>713</v>
      </c>
      <c r="E403" s="5" t="s">
        <v>22</v>
      </c>
      <c r="F403" s="4" t="s">
        <v>1294</v>
      </c>
      <c r="N403" s="4" t="s">
        <v>73</v>
      </c>
      <c r="O403" s="6">
        <v>45114</v>
      </c>
      <c r="P403" s="11">
        <v>45190</v>
      </c>
      <c r="Q403" s="9">
        <f ca="1">IF(P403="",TODAY()-O403,P403-O403)</f>
        <v>76</v>
      </c>
      <c r="R403" s="4" t="s">
        <v>43</v>
      </c>
      <c r="S403" s="5" t="s">
        <v>28</v>
      </c>
      <c r="T403" s="4" t="s">
        <v>112</v>
      </c>
      <c r="U403" s="5" t="s">
        <v>30</v>
      </c>
      <c r="V403" s="4">
        <v>988</v>
      </c>
      <c r="W403" s="5" t="s">
        <v>112</v>
      </c>
    </row>
    <row r="404" spans="1:26" x14ac:dyDescent="0.25">
      <c r="A404" s="7" t="s">
        <v>1289</v>
      </c>
      <c r="B404" s="7" t="s">
        <v>1071</v>
      </c>
      <c r="C404" s="5" t="s">
        <v>620</v>
      </c>
      <c r="D404" s="4" t="s">
        <v>20</v>
      </c>
      <c r="E404" s="5" t="s">
        <v>24</v>
      </c>
      <c r="F404" s="4" t="s">
        <v>384</v>
      </c>
      <c r="K404" s="6">
        <v>45119</v>
      </c>
      <c r="L404" s="56"/>
      <c r="M404" s="56"/>
      <c r="N404" s="4" t="s">
        <v>73</v>
      </c>
      <c r="O404" s="6">
        <v>45115</v>
      </c>
      <c r="P404" s="11">
        <v>45157</v>
      </c>
      <c r="Q404" s="9">
        <f ca="1">IF(P404="",TODAY()-O404,P404-O404)</f>
        <v>42</v>
      </c>
      <c r="R404" s="4" t="s">
        <v>896</v>
      </c>
      <c r="S404" s="5" t="s">
        <v>631</v>
      </c>
      <c r="T404" s="4" t="s">
        <v>112</v>
      </c>
      <c r="U404" s="5" t="s">
        <v>30</v>
      </c>
      <c r="W404" s="5" t="s">
        <v>38</v>
      </c>
      <c r="Z404" s="7" t="s">
        <v>1307</v>
      </c>
    </row>
    <row r="405" spans="1:26" x14ac:dyDescent="0.25">
      <c r="A405" s="7" t="s">
        <v>1280</v>
      </c>
      <c r="B405" s="7" t="s">
        <v>1071</v>
      </c>
      <c r="C405" s="5" t="s">
        <v>12</v>
      </c>
      <c r="D405" s="4" t="s">
        <v>17</v>
      </c>
      <c r="E405" s="5" t="s">
        <v>24</v>
      </c>
      <c r="F405" s="4" t="s">
        <v>1284</v>
      </c>
      <c r="G405" s="9" t="s">
        <v>51</v>
      </c>
      <c r="H405" s="32">
        <v>45149</v>
      </c>
      <c r="I405" s="33">
        <v>45177</v>
      </c>
      <c r="J405" s="4" t="s">
        <v>503</v>
      </c>
      <c r="K405" s="6">
        <v>45266</v>
      </c>
      <c r="L405" s="56"/>
      <c r="M405" s="56"/>
      <c r="N405" s="4" t="s">
        <v>73</v>
      </c>
      <c r="O405" s="6">
        <v>45116</v>
      </c>
      <c r="P405" s="11">
        <v>45276</v>
      </c>
      <c r="Q405" s="9">
        <f ca="1">IF(P405="",TODAY()-O405,P405-O405)</f>
        <v>160</v>
      </c>
      <c r="R405" s="4" t="s">
        <v>41</v>
      </c>
      <c r="S405" s="5" t="s">
        <v>121</v>
      </c>
      <c r="T405" s="4" t="s">
        <v>1019</v>
      </c>
      <c r="U405" s="5" t="s">
        <v>30</v>
      </c>
      <c r="W405" s="5" t="s">
        <v>39</v>
      </c>
      <c r="X405" s="38" t="s">
        <v>1966</v>
      </c>
      <c r="Y405" s="44">
        <v>45177</v>
      </c>
      <c r="Z405" s="7" t="s">
        <v>1879</v>
      </c>
    </row>
    <row r="406" spans="1:26" x14ac:dyDescent="0.25">
      <c r="A406" s="7" t="s">
        <v>1281</v>
      </c>
      <c r="B406" s="7" t="s">
        <v>1071</v>
      </c>
      <c r="C406" s="5" t="s">
        <v>12</v>
      </c>
      <c r="D406" s="4" t="s">
        <v>17</v>
      </c>
      <c r="E406" s="5" t="s">
        <v>24</v>
      </c>
      <c r="F406" s="4" t="s">
        <v>1284</v>
      </c>
      <c r="G406" s="9" t="s">
        <v>51</v>
      </c>
      <c r="H406" s="32">
        <v>45149</v>
      </c>
      <c r="I406" s="33">
        <v>45177</v>
      </c>
      <c r="J406" s="4" t="s">
        <v>503</v>
      </c>
      <c r="K406" s="6">
        <v>45266</v>
      </c>
      <c r="L406" s="56"/>
      <c r="M406" s="56"/>
      <c r="N406" s="4" t="s">
        <v>73</v>
      </c>
      <c r="O406" s="6">
        <v>45116</v>
      </c>
      <c r="P406" s="11">
        <v>45276</v>
      </c>
      <c r="Q406" s="9">
        <f ca="1">IF(P406="",TODAY()-O406,P406-O406)</f>
        <v>160</v>
      </c>
      <c r="R406" s="4" t="s">
        <v>41</v>
      </c>
      <c r="S406" s="5" t="s">
        <v>121</v>
      </c>
      <c r="T406" s="4" t="s">
        <v>1019</v>
      </c>
      <c r="U406" s="5" t="s">
        <v>30</v>
      </c>
      <c r="W406" s="5" t="s">
        <v>39</v>
      </c>
      <c r="X406" s="38" t="s">
        <v>1967</v>
      </c>
      <c r="Y406" s="44">
        <v>45177</v>
      </c>
      <c r="Z406" s="7" t="s">
        <v>1879</v>
      </c>
    </row>
    <row r="407" spans="1:26" x14ac:dyDescent="0.25">
      <c r="A407" s="7" t="s">
        <v>1282</v>
      </c>
      <c r="B407" s="7" t="s">
        <v>1071</v>
      </c>
      <c r="C407" s="5" t="s">
        <v>12</v>
      </c>
      <c r="D407" s="4" t="s">
        <v>17</v>
      </c>
      <c r="E407" s="5" t="s">
        <v>25</v>
      </c>
      <c r="F407" s="4" t="s">
        <v>1284</v>
      </c>
      <c r="G407" s="9" t="s">
        <v>51</v>
      </c>
      <c r="H407" s="32">
        <v>45149</v>
      </c>
      <c r="I407" s="33">
        <v>45177</v>
      </c>
      <c r="J407" s="4" t="s">
        <v>503</v>
      </c>
      <c r="K407" s="6">
        <v>45274</v>
      </c>
      <c r="L407" s="56"/>
      <c r="M407" s="56"/>
      <c r="N407" s="4" t="s">
        <v>73</v>
      </c>
      <c r="O407" s="6">
        <v>45116</v>
      </c>
      <c r="P407" s="11">
        <v>45284</v>
      </c>
      <c r="Q407" s="9">
        <f ca="1">IF(P407="",TODAY()-O407,P407-O407)</f>
        <v>168</v>
      </c>
      <c r="R407" s="4" t="s">
        <v>41</v>
      </c>
      <c r="S407" s="5" t="s">
        <v>121</v>
      </c>
      <c r="T407" s="4" t="s">
        <v>38</v>
      </c>
      <c r="U407" s="5" t="s">
        <v>30</v>
      </c>
      <c r="W407" s="5" t="s">
        <v>39</v>
      </c>
      <c r="X407" s="38" t="s">
        <v>1876</v>
      </c>
      <c r="Y407" s="44">
        <v>45177</v>
      </c>
      <c r="Z407" s="7" t="s">
        <v>1878</v>
      </c>
    </row>
    <row r="408" spans="1:26" x14ac:dyDescent="0.25">
      <c r="A408" s="7" t="s">
        <v>1283</v>
      </c>
      <c r="B408" s="7" t="s">
        <v>1071</v>
      </c>
      <c r="C408" s="5" t="s">
        <v>12</v>
      </c>
      <c r="D408" s="4" t="s">
        <v>17</v>
      </c>
      <c r="E408" s="5" t="s">
        <v>25</v>
      </c>
      <c r="F408" s="4" t="s">
        <v>1284</v>
      </c>
      <c r="G408" s="9" t="s">
        <v>51</v>
      </c>
      <c r="H408" s="32">
        <v>45149</v>
      </c>
      <c r="I408" s="33">
        <v>45177</v>
      </c>
      <c r="J408" s="4" t="s">
        <v>503</v>
      </c>
      <c r="K408" s="6">
        <v>45274</v>
      </c>
      <c r="L408" s="56"/>
      <c r="M408" s="56"/>
      <c r="N408" s="4" t="s">
        <v>73</v>
      </c>
      <c r="O408" s="6">
        <v>45116</v>
      </c>
      <c r="P408" s="11">
        <v>45284</v>
      </c>
      <c r="Q408" s="9">
        <f ca="1">IF(P408="",TODAY()-O408,P408-O408)</f>
        <v>168</v>
      </c>
      <c r="R408" s="4" t="s">
        <v>41</v>
      </c>
      <c r="S408" s="5" t="s">
        <v>121</v>
      </c>
      <c r="T408" s="4" t="s">
        <v>38</v>
      </c>
      <c r="U408" s="5" t="s">
        <v>30</v>
      </c>
      <c r="W408" s="5" t="s">
        <v>39</v>
      </c>
      <c r="X408" s="38" t="s">
        <v>1877</v>
      </c>
      <c r="Y408" s="44">
        <v>45177</v>
      </c>
      <c r="Z408" s="7" t="s">
        <v>1878</v>
      </c>
    </row>
    <row r="409" spans="1:26" x14ac:dyDescent="0.25">
      <c r="A409" s="7" t="s">
        <v>1393</v>
      </c>
      <c r="B409" s="7" t="s">
        <v>1071</v>
      </c>
      <c r="C409" s="5" t="s">
        <v>12</v>
      </c>
      <c r="D409" s="4" t="s">
        <v>311</v>
      </c>
      <c r="E409" s="5" t="s">
        <v>23</v>
      </c>
      <c r="F409" s="4" t="s">
        <v>384</v>
      </c>
      <c r="K409" s="6">
        <v>45138</v>
      </c>
      <c r="L409" s="56"/>
      <c r="M409" s="56"/>
      <c r="N409" s="4" t="s">
        <v>73</v>
      </c>
      <c r="O409" s="6">
        <v>45116</v>
      </c>
      <c r="Q409" s="9">
        <f ca="1">IF(P409="",TODAY()-O409,P409-O409)</f>
        <v>453</v>
      </c>
      <c r="S409" s="5" t="s">
        <v>27</v>
      </c>
      <c r="T409" s="4" t="s">
        <v>112</v>
      </c>
      <c r="U409" s="5" t="s">
        <v>33</v>
      </c>
      <c r="W409" s="5" t="s">
        <v>39</v>
      </c>
      <c r="Z409" s="7" t="s">
        <v>1388</v>
      </c>
    </row>
    <row r="410" spans="1:26" x14ac:dyDescent="0.25">
      <c r="A410" s="7" t="s">
        <v>1288</v>
      </c>
      <c r="B410" s="7" t="s">
        <v>1071</v>
      </c>
      <c r="C410" s="5" t="s">
        <v>12</v>
      </c>
      <c r="D410" s="4" t="s">
        <v>311</v>
      </c>
      <c r="E410" s="5" t="s">
        <v>23</v>
      </c>
      <c r="F410" s="4" t="s">
        <v>1287</v>
      </c>
      <c r="G410" s="9" t="s">
        <v>51</v>
      </c>
      <c r="H410" s="32">
        <v>45090</v>
      </c>
      <c r="I410" s="33">
        <v>45125</v>
      </c>
      <c r="J410" s="4" t="s">
        <v>102</v>
      </c>
      <c r="N410" s="4" t="s">
        <v>73</v>
      </c>
      <c r="O410" s="6">
        <v>45116</v>
      </c>
      <c r="Q410" s="9">
        <f ca="1">IF(P410="",TODAY()-O410,P410-O410)</f>
        <v>453</v>
      </c>
      <c r="S410" s="5" t="s">
        <v>27</v>
      </c>
      <c r="T410" s="4" t="s">
        <v>112</v>
      </c>
      <c r="U410" s="5" t="s">
        <v>33</v>
      </c>
      <c r="W410" s="5" t="s">
        <v>39</v>
      </c>
      <c r="Z410" s="7" t="s">
        <v>1389</v>
      </c>
    </row>
    <row r="411" spans="1:26" x14ac:dyDescent="0.25">
      <c r="A411" s="7" t="s">
        <v>1327</v>
      </c>
      <c r="B411" s="7" t="s">
        <v>1071</v>
      </c>
      <c r="C411" s="5" t="s">
        <v>12</v>
      </c>
      <c r="D411" s="4" t="s">
        <v>16</v>
      </c>
      <c r="E411" s="5" t="s">
        <v>23</v>
      </c>
      <c r="F411" s="4" t="s">
        <v>1287</v>
      </c>
      <c r="G411" s="9" t="s">
        <v>51</v>
      </c>
      <c r="H411" s="32">
        <v>45090</v>
      </c>
      <c r="I411" s="33">
        <v>45125</v>
      </c>
      <c r="J411" s="4" t="s">
        <v>102</v>
      </c>
      <c r="N411" s="4" t="s">
        <v>73</v>
      </c>
      <c r="O411" s="6">
        <v>45116</v>
      </c>
      <c r="Q411" s="9">
        <f ca="1">IF(P411="",TODAY()-O411,P411-O411)</f>
        <v>453</v>
      </c>
      <c r="S411" s="5" t="s">
        <v>27</v>
      </c>
      <c r="T411" s="4" t="s">
        <v>112</v>
      </c>
      <c r="U411" s="5" t="s">
        <v>33</v>
      </c>
      <c r="W411" s="5" t="s">
        <v>39</v>
      </c>
      <c r="Z411" s="7" t="s">
        <v>1389</v>
      </c>
    </row>
    <row r="412" spans="1:26" x14ac:dyDescent="0.25">
      <c r="A412" s="7" t="s">
        <v>1285</v>
      </c>
      <c r="B412" s="7" t="s">
        <v>1071</v>
      </c>
      <c r="C412" s="5" t="s">
        <v>12</v>
      </c>
      <c r="D412" s="4" t="s">
        <v>17</v>
      </c>
      <c r="E412" s="5" t="s">
        <v>24</v>
      </c>
      <c r="F412" s="4" t="s">
        <v>1286</v>
      </c>
      <c r="N412" s="4" t="s">
        <v>73</v>
      </c>
      <c r="O412" s="6">
        <v>45116</v>
      </c>
      <c r="Q412" s="9">
        <f ca="1">IF(P412="",TODAY()-O412,P412-O412)</f>
        <v>453</v>
      </c>
      <c r="S412" s="5" t="s">
        <v>27</v>
      </c>
      <c r="T412" s="4" t="s">
        <v>112</v>
      </c>
      <c r="U412" s="5" t="s">
        <v>33</v>
      </c>
      <c r="W412" s="5" t="s">
        <v>39</v>
      </c>
    </row>
    <row r="413" spans="1:26" x14ac:dyDescent="0.25">
      <c r="A413" s="7" t="s">
        <v>1308</v>
      </c>
      <c r="B413" s="7" t="s">
        <v>1071</v>
      </c>
      <c r="C413" s="5" t="s">
        <v>12</v>
      </c>
      <c r="D413" s="4" t="s">
        <v>16</v>
      </c>
      <c r="E413" s="5" t="s">
        <v>23</v>
      </c>
      <c r="F413" s="4" t="s">
        <v>1025</v>
      </c>
      <c r="N413" s="4" t="s">
        <v>73</v>
      </c>
      <c r="O413" s="6">
        <v>45118</v>
      </c>
      <c r="P413" s="11">
        <v>45125</v>
      </c>
      <c r="Q413" s="9">
        <f ca="1">IF(P413="",TODAY()-O413,P413-O413)</f>
        <v>7</v>
      </c>
      <c r="R413" s="4" t="s">
        <v>43</v>
      </c>
      <c r="S413" s="5" t="s">
        <v>26</v>
      </c>
      <c r="T413" s="4" t="s">
        <v>38</v>
      </c>
      <c r="U413" s="5" t="s">
        <v>30</v>
      </c>
      <c r="W413" s="5" t="s">
        <v>38</v>
      </c>
    </row>
    <row r="414" spans="1:26" x14ac:dyDescent="0.25">
      <c r="A414" s="7" t="s">
        <v>1309</v>
      </c>
      <c r="B414" s="7" t="s">
        <v>1071</v>
      </c>
      <c r="C414" s="5" t="s">
        <v>12</v>
      </c>
      <c r="D414" s="4" t="s">
        <v>16</v>
      </c>
      <c r="F414" s="4" t="s">
        <v>1025</v>
      </c>
      <c r="N414" s="4" t="s">
        <v>73</v>
      </c>
      <c r="O414" s="6">
        <v>45118</v>
      </c>
      <c r="P414" s="11">
        <v>45127</v>
      </c>
      <c r="Q414" s="9">
        <f ca="1">IF(P414="",TODAY()-O414,P414-O414)</f>
        <v>9</v>
      </c>
      <c r="R414" s="4" t="s">
        <v>43</v>
      </c>
      <c r="S414" s="5" t="s">
        <v>26</v>
      </c>
      <c r="T414" s="4" t="s">
        <v>38</v>
      </c>
      <c r="U414" s="5" t="s">
        <v>30</v>
      </c>
      <c r="W414" s="5" t="s">
        <v>38</v>
      </c>
    </row>
    <row r="415" spans="1:26" x14ac:dyDescent="0.25">
      <c r="A415" s="7" t="s">
        <v>1310</v>
      </c>
      <c r="B415" s="7" t="s">
        <v>1071</v>
      </c>
      <c r="C415" s="5" t="s">
        <v>12</v>
      </c>
      <c r="D415" s="4" t="s">
        <v>17</v>
      </c>
      <c r="F415" s="4" t="s">
        <v>1025</v>
      </c>
      <c r="N415" s="4" t="s">
        <v>73</v>
      </c>
      <c r="O415" s="6">
        <v>45118</v>
      </c>
      <c r="P415" s="11">
        <v>45127</v>
      </c>
      <c r="Q415" s="9">
        <f ca="1">IF(P415="",TODAY()-O415,P415-O415)</f>
        <v>9</v>
      </c>
      <c r="R415" s="4" t="s">
        <v>42</v>
      </c>
      <c r="S415" s="5" t="s">
        <v>26</v>
      </c>
      <c r="T415" s="4" t="s">
        <v>38</v>
      </c>
      <c r="U415" s="5" t="s">
        <v>30</v>
      </c>
      <c r="W415" s="5" t="s">
        <v>38</v>
      </c>
    </row>
    <row r="416" spans="1:26" x14ac:dyDescent="0.25">
      <c r="A416" s="7" t="s">
        <v>1311</v>
      </c>
      <c r="B416" s="7" t="s">
        <v>1071</v>
      </c>
      <c r="C416" s="5" t="s">
        <v>12</v>
      </c>
      <c r="D416" s="4" t="s">
        <v>17</v>
      </c>
      <c r="F416" s="4" t="s">
        <v>1025</v>
      </c>
      <c r="N416" s="4" t="s">
        <v>73</v>
      </c>
      <c r="O416" s="6">
        <v>45118</v>
      </c>
      <c r="P416" s="11">
        <v>45127</v>
      </c>
      <c r="Q416" s="9">
        <f ca="1">IF(P416="",TODAY()-O416,P416-O416)</f>
        <v>9</v>
      </c>
      <c r="R416" s="4" t="s">
        <v>42</v>
      </c>
      <c r="S416" s="5" t="s">
        <v>26</v>
      </c>
      <c r="T416" s="4" t="s">
        <v>38</v>
      </c>
      <c r="U416" s="5" t="s">
        <v>30</v>
      </c>
      <c r="W416" s="5" t="s">
        <v>38</v>
      </c>
    </row>
    <row r="417" spans="1:26" x14ac:dyDescent="0.25">
      <c r="A417" s="7" t="s">
        <v>1312</v>
      </c>
      <c r="B417" s="7" t="s">
        <v>1071</v>
      </c>
      <c r="C417" s="5" t="s">
        <v>12</v>
      </c>
      <c r="F417" s="4" t="s">
        <v>1025</v>
      </c>
      <c r="N417" s="4" t="s">
        <v>73</v>
      </c>
      <c r="O417" s="6">
        <v>45118</v>
      </c>
      <c r="P417" s="11">
        <v>45127</v>
      </c>
      <c r="Q417" s="9">
        <f ca="1">IF(P417="",TODAY()-O417,P417-O417)</f>
        <v>9</v>
      </c>
      <c r="R417" s="4" t="s">
        <v>42</v>
      </c>
      <c r="S417" s="5" t="s">
        <v>26</v>
      </c>
      <c r="T417" s="4" t="s">
        <v>38</v>
      </c>
      <c r="U417" s="5" t="s">
        <v>30</v>
      </c>
      <c r="W417" s="5" t="s">
        <v>38</v>
      </c>
    </row>
    <row r="418" spans="1:26" x14ac:dyDescent="0.25">
      <c r="A418" s="7" t="s">
        <v>1314</v>
      </c>
      <c r="B418" s="7" t="s">
        <v>1071</v>
      </c>
      <c r="C418" s="5" t="s">
        <v>12</v>
      </c>
      <c r="D418" s="4" t="s">
        <v>311</v>
      </c>
      <c r="E418" s="5" t="s">
        <v>25</v>
      </c>
      <c r="F418" s="4" t="s">
        <v>591</v>
      </c>
      <c r="K418" s="6">
        <v>45120</v>
      </c>
      <c r="L418" s="56"/>
      <c r="M418" s="56"/>
      <c r="N418" s="4" t="s">
        <v>73</v>
      </c>
      <c r="O418" s="6">
        <v>45119</v>
      </c>
      <c r="P418" s="11">
        <v>45131</v>
      </c>
      <c r="Q418" s="9">
        <f ca="1">IF(P418="",TODAY()-O418,P418-O418)</f>
        <v>12</v>
      </c>
      <c r="R418" s="4" t="s">
        <v>896</v>
      </c>
      <c r="S418" s="5" t="s">
        <v>631</v>
      </c>
      <c r="T418" s="4" t="s">
        <v>112</v>
      </c>
      <c r="U418" s="5" t="s">
        <v>30</v>
      </c>
      <c r="W418" s="5" t="s">
        <v>112</v>
      </c>
      <c r="Z418" s="7" t="s">
        <v>1315</v>
      </c>
    </row>
    <row r="419" spans="1:26" x14ac:dyDescent="0.25">
      <c r="A419" s="7" t="s">
        <v>1316</v>
      </c>
      <c r="B419" s="7" t="s">
        <v>1071</v>
      </c>
      <c r="C419" s="5" t="s">
        <v>12</v>
      </c>
      <c r="D419" s="4" t="s">
        <v>174</v>
      </c>
      <c r="E419" s="5" t="s">
        <v>22</v>
      </c>
      <c r="F419" s="4" t="s">
        <v>384</v>
      </c>
      <c r="N419" s="4" t="s">
        <v>9</v>
      </c>
      <c r="O419" s="6">
        <v>45120</v>
      </c>
      <c r="P419" s="11">
        <v>45120</v>
      </c>
      <c r="Q419" s="9">
        <f ca="1">IF(P419="",TODAY()-O419,P419-O419)</f>
        <v>0</v>
      </c>
      <c r="S419" s="5" t="s">
        <v>631</v>
      </c>
      <c r="U419" s="5" t="s">
        <v>30</v>
      </c>
      <c r="W419" s="5" t="s">
        <v>38</v>
      </c>
      <c r="Z419" s="7" t="s">
        <v>1317</v>
      </c>
    </row>
    <row r="420" spans="1:26" x14ac:dyDescent="0.25">
      <c r="A420" s="7" t="s">
        <v>1334</v>
      </c>
      <c r="B420" s="7" t="s">
        <v>1071</v>
      </c>
      <c r="C420" s="5" t="s">
        <v>620</v>
      </c>
      <c r="D420" s="4" t="s">
        <v>16</v>
      </c>
      <c r="E420" s="5" t="s">
        <v>25</v>
      </c>
      <c r="F420" s="4" t="s">
        <v>384</v>
      </c>
      <c r="K420" s="6">
        <v>45120</v>
      </c>
      <c r="L420" s="56"/>
      <c r="M420" s="56"/>
      <c r="N420" s="4" t="s">
        <v>9</v>
      </c>
      <c r="O420" s="6">
        <v>45120</v>
      </c>
      <c r="P420" s="11">
        <v>45120</v>
      </c>
      <c r="Q420" s="9">
        <f ca="1">IF(P420="",TODAY()-O420,P420-O420)</f>
        <v>0</v>
      </c>
      <c r="R420" s="4" t="s">
        <v>896</v>
      </c>
      <c r="S420" s="5" t="s">
        <v>631</v>
      </c>
      <c r="U420" s="5" t="s">
        <v>29</v>
      </c>
      <c r="V420" s="4">
        <v>958</v>
      </c>
      <c r="W420" s="5" t="s">
        <v>39</v>
      </c>
      <c r="Z420" s="7" t="s">
        <v>1335</v>
      </c>
    </row>
    <row r="421" spans="1:26" x14ac:dyDescent="0.25">
      <c r="A421" s="7" t="s">
        <v>1318</v>
      </c>
      <c r="B421" s="7" t="s">
        <v>1071</v>
      </c>
      <c r="C421" s="5" t="s">
        <v>12</v>
      </c>
      <c r="D421" s="4" t="s">
        <v>16</v>
      </c>
      <c r="E421" s="5" t="s">
        <v>24</v>
      </c>
      <c r="F421" s="4" t="s">
        <v>384</v>
      </c>
      <c r="N421" s="4" t="s">
        <v>73</v>
      </c>
      <c r="O421" s="6">
        <v>45122</v>
      </c>
      <c r="P421" s="11">
        <v>45128</v>
      </c>
      <c r="Q421" s="9">
        <f ca="1">IF(P421="",TODAY()-O421,P421-O421)</f>
        <v>6</v>
      </c>
      <c r="S421" s="5" t="s">
        <v>631</v>
      </c>
      <c r="T421" s="4" t="s">
        <v>38</v>
      </c>
      <c r="U421" s="5" t="s">
        <v>30</v>
      </c>
      <c r="W421" s="5" t="s">
        <v>38</v>
      </c>
      <c r="Z421" s="7" t="s">
        <v>1319</v>
      </c>
    </row>
    <row r="422" spans="1:26" x14ac:dyDescent="0.25">
      <c r="A422" s="7" t="s">
        <v>1320</v>
      </c>
      <c r="B422" s="7" t="s">
        <v>1071</v>
      </c>
      <c r="C422" s="5" t="s">
        <v>12</v>
      </c>
      <c r="D422" s="4" t="s">
        <v>16</v>
      </c>
      <c r="E422" s="5" t="s">
        <v>22</v>
      </c>
      <c r="F422" s="4" t="s">
        <v>1322</v>
      </c>
      <c r="G422" s="9" t="s">
        <v>51</v>
      </c>
      <c r="H422" s="32">
        <v>45125</v>
      </c>
      <c r="I422" s="33">
        <v>45160</v>
      </c>
      <c r="J422" s="4" t="s">
        <v>102</v>
      </c>
      <c r="N422" s="4" t="s">
        <v>73</v>
      </c>
      <c r="O422" s="6">
        <v>45123</v>
      </c>
      <c r="P422" s="11">
        <v>45179</v>
      </c>
      <c r="Q422" s="9">
        <f ca="1">IF(P422="",TODAY()-O422,P422-O422)</f>
        <v>56</v>
      </c>
      <c r="R422" s="4" t="s">
        <v>41</v>
      </c>
      <c r="S422" s="5" t="s">
        <v>27</v>
      </c>
      <c r="T422" s="4" t="s">
        <v>112</v>
      </c>
      <c r="U422" s="5" t="s">
        <v>33</v>
      </c>
      <c r="W422" s="5" t="s">
        <v>39</v>
      </c>
      <c r="X422" s="38" t="s">
        <v>1491</v>
      </c>
      <c r="Z422" s="7" t="s">
        <v>1493</v>
      </c>
    </row>
    <row r="423" spans="1:26" x14ac:dyDescent="0.25">
      <c r="A423" s="7" t="s">
        <v>1321</v>
      </c>
      <c r="B423" s="7" t="s">
        <v>1071</v>
      </c>
      <c r="C423" s="5" t="s">
        <v>12</v>
      </c>
      <c r="D423" s="4" t="s">
        <v>16</v>
      </c>
      <c r="E423" s="5" t="s">
        <v>22</v>
      </c>
      <c r="F423" s="4" t="s">
        <v>1322</v>
      </c>
      <c r="G423" s="9" t="s">
        <v>51</v>
      </c>
      <c r="H423" s="32">
        <v>45125</v>
      </c>
      <c r="I423" s="33">
        <v>45160</v>
      </c>
      <c r="J423" s="4" t="s">
        <v>102</v>
      </c>
      <c r="N423" s="4" t="s">
        <v>73</v>
      </c>
      <c r="O423" s="6">
        <v>45123</v>
      </c>
      <c r="P423" s="11">
        <v>45179</v>
      </c>
      <c r="Q423" s="9">
        <f ca="1">IF(P423="",TODAY()-O423,P423-O423)</f>
        <v>56</v>
      </c>
      <c r="R423" s="4" t="s">
        <v>41</v>
      </c>
      <c r="S423" s="5" t="s">
        <v>27</v>
      </c>
      <c r="T423" s="4" t="s">
        <v>112</v>
      </c>
      <c r="U423" s="5" t="s">
        <v>33</v>
      </c>
      <c r="W423" s="5" t="s">
        <v>39</v>
      </c>
      <c r="X423" s="38" t="s">
        <v>1492</v>
      </c>
      <c r="Z423" s="7" t="s">
        <v>1494</v>
      </c>
    </row>
    <row r="424" spans="1:26" x14ac:dyDescent="0.25">
      <c r="A424" s="7" t="s">
        <v>1323</v>
      </c>
      <c r="B424" s="7" t="s">
        <v>1071</v>
      </c>
      <c r="C424" s="5" t="s">
        <v>12</v>
      </c>
      <c r="E424" s="5" t="s">
        <v>25</v>
      </c>
      <c r="F424" s="4" t="s">
        <v>591</v>
      </c>
      <c r="G424" s="9" t="s">
        <v>50</v>
      </c>
      <c r="K424" s="6">
        <v>45141</v>
      </c>
      <c r="L424" s="56"/>
      <c r="M424" s="56"/>
      <c r="N424" s="4" t="s">
        <v>73</v>
      </c>
      <c r="O424" s="6">
        <v>45125</v>
      </c>
      <c r="Q424" s="9">
        <f ca="1">IF(P424="",TODAY()-O424,P424-O424)</f>
        <v>444</v>
      </c>
      <c r="S424" s="5" t="s">
        <v>631</v>
      </c>
      <c r="T424" s="4" t="s">
        <v>38</v>
      </c>
      <c r="W424" s="5" t="s">
        <v>38</v>
      </c>
      <c r="Z424" s="7" t="s">
        <v>1342</v>
      </c>
    </row>
    <row r="425" spans="1:26" x14ac:dyDescent="0.25">
      <c r="A425" s="7" t="s">
        <v>1324</v>
      </c>
      <c r="B425" s="7" t="s">
        <v>1071</v>
      </c>
      <c r="C425" s="5" t="s">
        <v>12</v>
      </c>
      <c r="N425" s="4" t="s">
        <v>73</v>
      </c>
      <c r="O425" s="6">
        <v>45125</v>
      </c>
      <c r="P425" s="11">
        <v>45138</v>
      </c>
      <c r="Q425" s="9">
        <f ca="1">IF(P425="",TODAY()-O425,P425-O425)</f>
        <v>13</v>
      </c>
      <c r="R425" s="4" t="s">
        <v>43</v>
      </c>
      <c r="S425" s="5" t="s">
        <v>631</v>
      </c>
      <c r="T425" s="4" t="s">
        <v>38</v>
      </c>
      <c r="W425" s="5" t="s">
        <v>38</v>
      </c>
      <c r="Z425" s="7" t="s">
        <v>1342</v>
      </c>
    </row>
    <row r="426" spans="1:26" x14ac:dyDescent="0.25">
      <c r="A426" s="7" t="s">
        <v>1325</v>
      </c>
      <c r="B426" s="7" t="s">
        <v>1071</v>
      </c>
      <c r="C426" s="5" t="s">
        <v>12</v>
      </c>
      <c r="N426" s="4" t="s">
        <v>73</v>
      </c>
      <c r="O426" s="6">
        <v>45125</v>
      </c>
      <c r="P426" s="11">
        <v>45138</v>
      </c>
      <c r="Q426" s="9">
        <f ca="1">IF(P426="",TODAY()-O426,P426-O426)</f>
        <v>13</v>
      </c>
      <c r="R426" s="4" t="s">
        <v>43</v>
      </c>
      <c r="S426" s="5" t="s">
        <v>631</v>
      </c>
      <c r="T426" s="4" t="s">
        <v>38</v>
      </c>
      <c r="W426" s="5" t="s">
        <v>38</v>
      </c>
      <c r="Z426" s="7" t="s">
        <v>1342</v>
      </c>
    </row>
    <row r="427" spans="1:26" x14ac:dyDescent="0.25">
      <c r="A427" s="7" t="s">
        <v>1326</v>
      </c>
      <c r="B427" s="7" t="s">
        <v>1071</v>
      </c>
      <c r="C427" s="5" t="s">
        <v>12</v>
      </c>
      <c r="N427" s="4" t="s">
        <v>73</v>
      </c>
      <c r="O427" s="6">
        <v>45125</v>
      </c>
      <c r="P427" s="11">
        <v>45143</v>
      </c>
      <c r="Q427" s="9">
        <f ca="1">IF(P427="",TODAY()-O427,P427-O427)</f>
        <v>18</v>
      </c>
      <c r="R427" s="4" t="s">
        <v>43</v>
      </c>
      <c r="S427" s="5" t="s">
        <v>631</v>
      </c>
      <c r="T427" s="4" t="s">
        <v>38</v>
      </c>
      <c r="W427" s="5" t="s">
        <v>38</v>
      </c>
      <c r="Z427" s="7" t="s">
        <v>1342</v>
      </c>
    </row>
    <row r="428" spans="1:26" x14ac:dyDescent="0.25">
      <c r="A428" s="7" t="s">
        <v>2177</v>
      </c>
      <c r="B428" s="7" t="s">
        <v>1071</v>
      </c>
      <c r="C428" s="5" t="s">
        <v>12</v>
      </c>
      <c r="D428" s="4" t="s">
        <v>17</v>
      </c>
      <c r="E428" s="5" t="s">
        <v>25</v>
      </c>
      <c r="F428" s="4" t="s">
        <v>591</v>
      </c>
      <c r="O428" s="6">
        <v>45125</v>
      </c>
      <c r="P428" s="11">
        <v>45125</v>
      </c>
      <c r="Q428" s="9">
        <f ca="1">IF(P428="",TODAY()-O428,P428-O428)</f>
        <v>0</v>
      </c>
      <c r="S428" s="5" t="s">
        <v>28</v>
      </c>
      <c r="U428" s="5" t="s">
        <v>29</v>
      </c>
      <c r="V428" s="4">
        <v>962</v>
      </c>
      <c r="W428" s="5" t="s">
        <v>39</v>
      </c>
      <c r="Z428" s="7" t="s">
        <v>1331</v>
      </c>
    </row>
    <row r="429" spans="1:26" x14ac:dyDescent="0.25">
      <c r="A429" s="7" t="s">
        <v>2178</v>
      </c>
      <c r="B429" s="7" t="s">
        <v>1071</v>
      </c>
      <c r="C429" s="5" t="s">
        <v>12</v>
      </c>
      <c r="D429" s="4" t="s">
        <v>18</v>
      </c>
      <c r="E429" s="5" t="s">
        <v>25</v>
      </c>
      <c r="F429" s="4" t="s">
        <v>1330</v>
      </c>
      <c r="G429" s="9" t="s">
        <v>51</v>
      </c>
      <c r="H429" s="32">
        <v>45128</v>
      </c>
      <c r="I429" s="33">
        <v>45169</v>
      </c>
      <c r="J429" s="4" t="s">
        <v>101</v>
      </c>
      <c r="K429" s="6">
        <v>45238</v>
      </c>
      <c r="L429" s="56"/>
      <c r="M429" s="56"/>
      <c r="N429" s="4" t="s">
        <v>73</v>
      </c>
      <c r="O429" s="6">
        <v>45125</v>
      </c>
      <c r="P429" s="11">
        <v>45354</v>
      </c>
      <c r="Q429" s="9">
        <f ca="1">IF(P429="",TODAY()-O429,P429-O429)</f>
        <v>229</v>
      </c>
      <c r="S429" s="5" t="s">
        <v>27</v>
      </c>
      <c r="T429" s="4" t="s">
        <v>132</v>
      </c>
      <c r="U429" s="5" t="s">
        <v>29</v>
      </c>
      <c r="V429" s="4">
        <v>962.1</v>
      </c>
      <c r="W429" s="5" t="s">
        <v>39</v>
      </c>
      <c r="X429" s="38" t="s">
        <v>2090</v>
      </c>
      <c r="Y429" s="44">
        <v>45238</v>
      </c>
      <c r="Z429" s="7" t="s">
        <v>2093</v>
      </c>
    </row>
    <row r="430" spans="1:26" x14ac:dyDescent="0.25">
      <c r="A430" s="7" t="s">
        <v>1328</v>
      </c>
      <c r="B430" s="7" t="s">
        <v>1071</v>
      </c>
      <c r="C430" s="5" t="s">
        <v>12</v>
      </c>
      <c r="D430" s="4" t="s">
        <v>17</v>
      </c>
      <c r="E430" s="5" t="s">
        <v>25</v>
      </c>
      <c r="F430" s="4" t="s">
        <v>1330</v>
      </c>
      <c r="G430" s="9" t="s">
        <v>51</v>
      </c>
      <c r="H430" s="32">
        <v>45128</v>
      </c>
      <c r="I430" s="33">
        <v>45169</v>
      </c>
      <c r="J430" s="4" t="s">
        <v>101</v>
      </c>
      <c r="K430" s="6">
        <v>45238</v>
      </c>
      <c r="L430" s="56"/>
      <c r="M430" s="56"/>
      <c r="N430" s="4" t="s">
        <v>73</v>
      </c>
      <c r="O430" s="6">
        <v>45125</v>
      </c>
      <c r="Q430" s="9">
        <f ca="1">IF(P430="",TODAY()-O430,P430-O430)</f>
        <v>444</v>
      </c>
      <c r="S430" s="5" t="s">
        <v>27</v>
      </c>
      <c r="T430" s="4" t="s">
        <v>132</v>
      </c>
      <c r="U430" s="5" t="s">
        <v>29</v>
      </c>
      <c r="V430" s="4">
        <v>962.2</v>
      </c>
      <c r="W430" s="5" t="s">
        <v>39</v>
      </c>
      <c r="Y430" s="44">
        <v>45238</v>
      </c>
      <c r="Z430" s="7" t="s">
        <v>2093</v>
      </c>
    </row>
    <row r="431" spans="1:26" x14ac:dyDescent="0.25">
      <c r="A431" s="7" t="s">
        <v>1329</v>
      </c>
      <c r="B431" s="7" t="s">
        <v>1071</v>
      </c>
      <c r="C431" s="5" t="s">
        <v>12</v>
      </c>
      <c r="D431" s="4" t="s">
        <v>17</v>
      </c>
      <c r="E431" s="5" t="s">
        <v>25</v>
      </c>
      <c r="F431" s="4" t="s">
        <v>1330</v>
      </c>
      <c r="G431" s="9" t="s">
        <v>51</v>
      </c>
      <c r="H431" s="32">
        <v>45128</v>
      </c>
      <c r="I431" s="33">
        <v>45169</v>
      </c>
      <c r="J431" s="4" t="s">
        <v>101</v>
      </c>
      <c r="K431" s="6">
        <v>45238</v>
      </c>
      <c r="L431" s="56"/>
      <c r="M431" s="56"/>
      <c r="N431" s="4" t="s">
        <v>73</v>
      </c>
      <c r="O431" s="6">
        <v>45125</v>
      </c>
      <c r="Q431" s="9">
        <f ca="1">IF(P431="",TODAY()-O431,P431-O431)</f>
        <v>444</v>
      </c>
      <c r="S431" s="5" t="s">
        <v>27</v>
      </c>
      <c r="T431" s="4" t="s">
        <v>132</v>
      </c>
      <c r="U431" s="5" t="s">
        <v>29</v>
      </c>
      <c r="V431" s="4">
        <v>962.3</v>
      </c>
      <c r="W431" s="5" t="s">
        <v>39</v>
      </c>
      <c r="Y431" s="44">
        <v>45238</v>
      </c>
      <c r="Z431" s="7" t="s">
        <v>2093</v>
      </c>
    </row>
    <row r="432" spans="1:26" x14ac:dyDescent="0.25">
      <c r="A432" s="7" t="s">
        <v>1852</v>
      </c>
      <c r="B432" s="7" t="s">
        <v>1071</v>
      </c>
      <c r="C432" s="5" t="s">
        <v>12</v>
      </c>
      <c r="D432" s="4" t="s">
        <v>311</v>
      </c>
      <c r="E432" s="5" t="s">
        <v>23</v>
      </c>
      <c r="F432" s="4" t="s">
        <v>583</v>
      </c>
      <c r="G432" s="9" t="s">
        <v>50</v>
      </c>
      <c r="H432" s="32">
        <v>45134</v>
      </c>
      <c r="I432" s="33">
        <v>45155</v>
      </c>
      <c r="J432" s="4" t="s">
        <v>503</v>
      </c>
      <c r="K432" s="6">
        <v>45259</v>
      </c>
      <c r="L432" s="56"/>
      <c r="M432" s="56"/>
      <c r="N432" s="4" t="s">
        <v>73</v>
      </c>
      <c r="O432" s="6">
        <v>45125</v>
      </c>
      <c r="P432" s="11"/>
      <c r="Q432" s="9">
        <f ca="1">IF(P432="",TODAY()-O432,P432-O432)</f>
        <v>444</v>
      </c>
      <c r="S432" s="5" t="s">
        <v>26</v>
      </c>
      <c r="T432" s="4" t="s">
        <v>809</v>
      </c>
      <c r="U432" s="5" t="s">
        <v>30</v>
      </c>
      <c r="W432" s="5" t="s">
        <v>38</v>
      </c>
      <c r="X432" s="38" t="s">
        <v>1700</v>
      </c>
      <c r="Y432" s="44">
        <v>45134</v>
      </c>
      <c r="Z432" s="7" t="s">
        <v>1387</v>
      </c>
    </row>
    <row r="433" spans="1:26" x14ac:dyDescent="0.25">
      <c r="A433" s="7" t="s">
        <v>1332</v>
      </c>
      <c r="B433" s="7" t="s">
        <v>1071</v>
      </c>
      <c r="C433" s="5" t="s">
        <v>12</v>
      </c>
      <c r="D433" s="4" t="s">
        <v>311</v>
      </c>
      <c r="E433" s="5" t="s">
        <v>23</v>
      </c>
      <c r="F433" s="4" t="s">
        <v>583</v>
      </c>
      <c r="G433" s="9" t="s">
        <v>50</v>
      </c>
      <c r="H433" s="32">
        <v>45134</v>
      </c>
      <c r="J433" s="4" t="s">
        <v>503</v>
      </c>
      <c r="N433" s="4" t="s">
        <v>73</v>
      </c>
      <c r="O433" s="6">
        <v>45125</v>
      </c>
      <c r="P433" s="11">
        <v>45142</v>
      </c>
      <c r="Q433" s="9">
        <f ca="1">IF(P433="",TODAY()-O433,P433-O433)</f>
        <v>17</v>
      </c>
      <c r="R433" s="4" t="s">
        <v>43</v>
      </c>
      <c r="S433" s="5" t="s">
        <v>26</v>
      </c>
      <c r="T433" s="4" t="s">
        <v>38</v>
      </c>
      <c r="U433" s="5" t="s">
        <v>30</v>
      </c>
      <c r="W433" s="5" t="s">
        <v>38</v>
      </c>
      <c r="Z433" s="7" t="s">
        <v>1387</v>
      </c>
    </row>
    <row r="434" spans="1:26" x14ac:dyDescent="0.25">
      <c r="A434" s="7" t="s">
        <v>1333</v>
      </c>
      <c r="B434" s="7" t="s">
        <v>1071</v>
      </c>
      <c r="C434" s="5" t="s">
        <v>12</v>
      </c>
      <c r="D434" s="4" t="s">
        <v>311</v>
      </c>
      <c r="E434" s="5" t="s">
        <v>22</v>
      </c>
      <c r="F434" s="4" t="s">
        <v>583</v>
      </c>
      <c r="G434" s="9" t="s">
        <v>50</v>
      </c>
      <c r="H434" s="32">
        <v>45134</v>
      </c>
      <c r="J434" s="4" t="s">
        <v>503</v>
      </c>
      <c r="N434" s="4" t="s">
        <v>73</v>
      </c>
      <c r="O434" s="6">
        <v>45125</v>
      </c>
      <c r="P434" s="11">
        <v>45142</v>
      </c>
      <c r="Q434" s="9">
        <f ca="1">IF(P434="",TODAY()-O434,P434-O434)</f>
        <v>17</v>
      </c>
      <c r="R434" s="4" t="s">
        <v>42</v>
      </c>
      <c r="S434" s="5" t="s">
        <v>26</v>
      </c>
      <c r="T434" s="4" t="s">
        <v>38</v>
      </c>
      <c r="U434" s="5" t="s">
        <v>30</v>
      </c>
      <c r="W434" s="5" t="s">
        <v>38</v>
      </c>
      <c r="Z434" s="7" t="s">
        <v>1387</v>
      </c>
    </row>
    <row r="435" spans="1:26" x14ac:dyDescent="0.25">
      <c r="A435" s="7" t="s">
        <v>1336</v>
      </c>
      <c r="B435" s="7" t="s">
        <v>1071</v>
      </c>
      <c r="C435" s="5" t="s">
        <v>12</v>
      </c>
      <c r="D435" s="4" t="s">
        <v>16</v>
      </c>
      <c r="E435" s="5" t="s">
        <v>25</v>
      </c>
      <c r="F435" s="4" t="s">
        <v>384</v>
      </c>
      <c r="K435" s="6">
        <v>45127</v>
      </c>
      <c r="L435" s="56"/>
      <c r="M435" s="56"/>
      <c r="N435" s="4" t="s">
        <v>73</v>
      </c>
      <c r="O435" s="6">
        <v>45125</v>
      </c>
      <c r="P435" s="11">
        <v>45133</v>
      </c>
      <c r="Q435" s="9">
        <f ca="1">IF(P435="",TODAY()-O435,P435-O435)</f>
        <v>8</v>
      </c>
      <c r="R435" s="4" t="s">
        <v>896</v>
      </c>
      <c r="S435" s="5" t="s">
        <v>631</v>
      </c>
      <c r="T435" s="4" t="s">
        <v>112</v>
      </c>
      <c r="U435" s="5" t="s">
        <v>30</v>
      </c>
      <c r="W435" s="5" t="s">
        <v>112</v>
      </c>
      <c r="Z435" s="7" t="s">
        <v>1355</v>
      </c>
    </row>
    <row r="436" spans="1:26" x14ac:dyDescent="0.25">
      <c r="A436" s="7" t="s">
        <v>1545</v>
      </c>
      <c r="B436" s="7" t="s">
        <v>1071</v>
      </c>
      <c r="C436" s="5" t="s">
        <v>12</v>
      </c>
      <c r="D436" s="4" t="s">
        <v>17</v>
      </c>
      <c r="E436" s="5" t="s">
        <v>22</v>
      </c>
      <c r="F436" s="4" t="s">
        <v>1642</v>
      </c>
      <c r="G436" s="9" t="s">
        <v>51</v>
      </c>
      <c r="H436" s="32">
        <v>45154</v>
      </c>
      <c r="I436" s="33">
        <v>45178</v>
      </c>
      <c r="J436" s="4" t="s">
        <v>102</v>
      </c>
      <c r="N436" s="4" t="s">
        <v>73</v>
      </c>
      <c r="O436" s="6">
        <v>45125</v>
      </c>
      <c r="P436" s="11">
        <v>45195</v>
      </c>
      <c r="Q436" s="9">
        <f ca="1">IF(P436="",TODAY()-O436,P436-O436)</f>
        <v>70</v>
      </c>
      <c r="R436" s="4" t="s">
        <v>41</v>
      </c>
      <c r="S436" s="5" t="s">
        <v>26</v>
      </c>
      <c r="T436" s="4" t="s">
        <v>38</v>
      </c>
      <c r="U436" s="5" t="s">
        <v>29</v>
      </c>
      <c r="V436" s="4">
        <v>963</v>
      </c>
      <c r="W436" s="5" t="s">
        <v>39</v>
      </c>
      <c r="X436" s="38" t="s">
        <v>1726</v>
      </c>
      <c r="Y436" s="44">
        <v>45154</v>
      </c>
      <c r="Z436" s="7" t="s">
        <v>1643</v>
      </c>
    </row>
    <row r="437" spans="1:26" x14ac:dyDescent="0.25">
      <c r="A437" s="7" t="s">
        <v>1343</v>
      </c>
      <c r="B437" s="7" t="s">
        <v>1071</v>
      </c>
      <c r="C437" s="5" t="s">
        <v>12</v>
      </c>
      <c r="D437" s="4" t="s">
        <v>713</v>
      </c>
      <c r="F437" s="4" t="s">
        <v>1025</v>
      </c>
      <c r="N437" s="4" t="s">
        <v>73</v>
      </c>
      <c r="O437" s="6">
        <v>45130</v>
      </c>
      <c r="P437" s="11">
        <v>45137</v>
      </c>
      <c r="Q437" s="9">
        <f ca="1">IF(P437="",TODAY()-O437,P437-O437)</f>
        <v>7</v>
      </c>
      <c r="R437" s="4" t="s">
        <v>43</v>
      </c>
      <c r="S437" s="5" t="s">
        <v>121</v>
      </c>
      <c r="T437" s="4" t="s">
        <v>112</v>
      </c>
      <c r="W437" s="5" t="s">
        <v>39</v>
      </c>
    </row>
    <row r="438" spans="1:26" x14ac:dyDescent="0.25">
      <c r="A438" s="7" t="s">
        <v>1344</v>
      </c>
      <c r="B438" s="7" t="s">
        <v>1071</v>
      </c>
      <c r="C438" s="5" t="s">
        <v>12</v>
      </c>
      <c r="F438" s="4" t="s">
        <v>1025</v>
      </c>
      <c r="N438" s="4" t="s">
        <v>73</v>
      </c>
      <c r="O438" s="6">
        <v>45130</v>
      </c>
      <c r="P438" s="11">
        <v>45164</v>
      </c>
      <c r="Q438" s="9">
        <f ca="1">IF(P438="",TODAY()-O438,P438-O438)</f>
        <v>34</v>
      </c>
      <c r="R438" s="4" t="s">
        <v>43</v>
      </c>
      <c r="S438" s="5" t="s">
        <v>121</v>
      </c>
      <c r="T438" s="4" t="s">
        <v>112</v>
      </c>
      <c r="U438" s="5" t="s">
        <v>33</v>
      </c>
      <c r="W438" s="5" t="s">
        <v>39</v>
      </c>
      <c r="Z438" s="7" t="s">
        <v>1394</v>
      </c>
    </row>
    <row r="439" spans="1:26" x14ac:dyDescent="0.25">
      <c r="A439" s="7" t="s">
        <v>1345</v>
      </c>
      <c r="B439" s="7" t="s">
        <v>1071</v>
      </c>
      <c r="C439" s="5" t="s">
        <v>12</v>
      </c>
      <c r="F439" s="4" t="s">
        <v>1025</v>
      </c>
      <c r="N439" s="4" t="s">
        <v>73</v>
      </c>
      <c r="O439" s="6">
        <v>45130</v>
      </c>
      <c r="P439" s="11">
        <v>45164</v>
      </c>
      <c r="Q439" s="9">
        <f ca="1">IF(P439="",TODAY()-O439,P439-O439)</f>
        <v>34</v>
      </c>
      <c r="R439" s="4" t="s">
        <v>42</v>
      </c>
      <c r="S439" s="5" t="s">
        <v>121</v>
      </c>
      <c r="T439" s="4" t="s">
        <v>112</v>
      </c>
      <c r="U439" s="5" t="s">
        <v>33</v>
      </c>
      <c r="W439" s="5" t="s">
        <v>39</v>
      </c>
      <c r="Z439" s="7" t="s">
        <v>1479</v>
      </c>
    </row>
    <row r="440" spans="1:26" x14ac:dyDescent="0.25">
      <c r="A440" s="7" t="s">
        <v>1346</v>
      </c>
      <c r="B440" s="7" t="s">
        <v>1071</v>
      </c>
      <c r="C440" s="5" t="s">
        <v>12</v>
      </c>
      <c r="E440" s="5" t="s">
        <v>23</v>
      </c>
      <c r="F440" s="4" t="s">
        <v>1025</v>
      </c>
      <c r="N440" s="4" t="s">
        <v>73</v>
      </c>
      <c r="O440" s="6">
        <v>45130</v>
      </c>
      <c r="P440" s="11">
        <v>45301</v>
      </c>
      <c r="Q440" s="9">
        <f ca="1">IF(P440="",TODAY()-O440,P440-O440)</f>
        <v>171</v>
      </c>
      <c r="R440" s="4" t="s">
        <v>42</v>
      </c>
      <c r="S440" s="5" t="s">
        <v>121</v>
      </c>
      <c r="T440" s="4" t="s">
        <v>112</v>
      </c>
      <c r="U440" s="5" t="s">
        <v>33</v>
      </c>
      <c r="W440" s="5" t="s">
        <v>39</v>
      </c>
      <c r="Z440" s="7" t="s">
        <v>1975</v>
      </c>
    </row>
    <row r="441" spans="1:26" x14ac:dyDescent="0.25">
      <c r="A441" s="7" t="s">
        <v>1347</v>
      </c>
      <c r="B441" s="7" t="s">
        <v>1071</v>
      </c>
      <c r="C441" s="5" t="s">
        <v>12</v>
      </c>
      <c r="F441" s="4" t="s">
        <v>1025</v>
      </c>
      <c r="N441" s="4" t="s">
        <v>73</v>
      </c>
      <c r="O441" s="6">
        <v>45130</v>
      </c>
      <c r="Q441" s="9">
        <f ca="1">IF(P441="",TODAY()-O441,P441-O441)</f>
        <v>439</v>
      </c>
      <c r="S441" s="5" t="s">
        <v>121</v>
      </c>
      <c r="T441" s="4" t="s">
        <v>112</v>
      </c>
      <c r="U441" s="5" t="s">
        <v>33</v>
      </c>
      <c r="W441" s="5" t="s">
        <v>39</v>
      </c>
      <c r="Z441" s="7" t="s">
        <v>1394</v>
      </c>
    </row>
    <row r="442" spans="1:26" x14ac:dyDescent="0.25">
      <c r="A442" s="7" t="s">
        <v>1376</v>
      </c>
      <c r="B442" s="7" t="s">
        <v>1071</v>
      </c>
      <c r="C442" s="5" t="s">
        <v>12</v>
      </c>
      <c r="D442" s="4" t="s">
        <v>16</v>
      </c>
      <c r="E442" s="5" t="s">
        <v>23</v>
      </c>
      <c r="F442" s="4" t="s">
        <v>571</v>
      </c>
      <c r="G442" s="9" t="s">
        <v>51</v>
      </c>
      <c r="H442" s="32">
        <v>45148</v>
      </c>
      <c r="I442" s="33">
        <v>45168</v>
      </c>
      <c r="J442" s="4" t="s">
        <v>102</v>
      </c>
      <c r="N442" s="4" t="s">
        <v>73</v>
      </c>
      <c r="O442" s="6">
        <v>45131</v>
      </c>
      <c r="P442" s="11">
        <v>45186</v>
      </c>
      <c r="Q442" s="9">
        <f ca="1">IF(P442="",TODAY()-O442,P442-O442)</f>
        <v>55</v>
      </c>
      <c r="R442" s="4" t="s">
        <v>41</v>
      </c>
      <c r="S442" s="5" t="s">
        <v>26</v>
      </c>
      <c r="T442" s="4" t="s">
        <v>809</v>
      </c>
      <c r="U442" s="5" t="s">
        <v>29</v>
      </c>
      <c r="V442" s="4">
        <v>965</v>
      </c>
      <c r="W442" s="5" t="s">
        <v>39</v>
      </c>
      <c r="X442" s="38" t="s">
        <v>1612</v>
      </c>
      <c r="Z442" s="7" t="s">
        <v>1613</v>
      </c>
    </row>
    <row r="443" spans="1:26" x14ac:dyDescent="0.25">
      <c r="A443" s="7" t="s">
        <v>1353</v>
      </c>
      <c r="B443" s="7" t="s">
        <v>1071</v>
      </c>
      <c r="C443" s="5" t="s">
        <v>12</v>
      </c>
      <c r="D443" s="4" t="s">
        <v>17</v>
      </c>
      <c r="E443" s="5" t="s">
        <v>22</v>
      </c>
      <c r="F443" s="4" t="s">
        <v>1025</v>
      </c>
      <c r="N443" s="4" t="s">
        <v>73</v>
      </c>
      <c r="O443" s="6">
        <v>45132</v>
      </c>
      <c r="P443" s="11">
        <v>45169</v>
      </c>
      <c r="Q443" s="9">
        <f ca="1">IF(P443="",TODAY()-O443,P443-O443)</f>
        <v>37</v>
      </c>
      <c r="R443" s="4" t="s">
        <v>43</v>
      </c>
      <c r="S443" s="5" t="s">
        <v>26</v>
      </c>
      <c r="T443" s="4" t="s">
        <v>38</v>
      </c>
      <c r="U443" s="5" t="s">
        <v>30</v>
      </c>
      <c r="W443" s="5" t="s">
        <v>39</v>
      </c>
      <c r="Z443" s="7" t="s">
        <v>1495</v>
      </c>
    </row>
    <row r="444" spans="1:26" x14ac:dyDescent="0.25">
      <c r="A444" s="7" t="s">
        <v>898</v>
      </c>
      <c r="B444" s="7" t="s">
        <v>1071</v>
      </c>
      <c r="C444" s="5" t="s">
        <v>12</v>
      </c>
      <c r="D444" s="4" t="s">
        <v>16</v>
      </c>
      <c r="E444" s="5" t="s">
        <v>23</v>
      </c>
      <c r="F444" s="4" t="s">
        <v>384</v>
      </c>
      <c r="N444" s="4" t="s">
        <v>9</v>
      </c>
      <c r="O444" s="6">
        <v>45133</v>
      </c>
      <c r="P444" s="11">
        <v>45134</v>
      </c>
      <c r="Q444" s="9">
        <f ca="1">IF(P444="",TODAY()-O444,P444-O444)</f>
        <v>1</v>
      </c>
      <c r="R444" s="4" t="s">
        <v>42</v>
      </c>
      <c r="S444" s="5" t="s">
        <v>26</v>
      </c>
      <c r="U444" s="5" t="s">
        <v>30</v>
      </c>
      <c r="W444" s="5" t="s">
        <v>38</v>
      </c>
      <c r="Z444" s="7" t="s">
        <v>1368</v>
      </c>
    </row>
    <row r="445" spans="1:26" x14ac:dyDescent="0.25">
      <c r="A445" s="7" t="s">
        <v>1371</v>
      </c>
      <c r="B445" s="7" t="s">
        <v>1071</v>
      </c>
      <c r="C445" s="5" t="s">
        <v>620</v>
      </c>
      <c r="D445" s="4" t="s">
        <v>1195</v>
      </c>
      <c r="E445" s="5" t="s">
        <v>23</v>
      </c>
      <c r="F445" s="4" t="s">
        <v>384</v>
      </c>
      <c r="N445" s="4" t="s">
        <v>73</v>
      </c>
      <c r="O445" s="6">
        <v>45136</v>
      </c>
      <c r="P445" s="11">
        <v>45161</v>
      </c>
      <c r="Q445" s="9">
        <f ca="1">IF(P445="",TODAY()-O445,P445-O445)</f>
        <v>25</v>
      </c>
      <c r="R445" s="4" t="s">
        <v>42</v>
      </c>
      <c r="S445" s="5" t="s">
        <v>26</v>
      </c>
      <c r="T445" s="4" t="s">
        <v>112</v>
      </c>
      <c r="U445" s="5" t="s">
        <v>30</v>
      </c>
      <c r="W445" s="5" t="s">
        <v>112</v>
      </c>
      <c r="Z445" s="7" t="s">
        <v>1447</v>
      </c>
    </row>
    <row r="446" spans="1:26" x14ac:dyDescent="0.25">
      <c r="A446" s="7" t="s">
        <v>1372</v>
      </c>
      <c r="B446" s="7" t="s">
        <v>1071</v>
      </c>
      <c r="C446" s="5" t="s">
        <v>620</v>
      </c>
      <c r="D446" s="4" t="s">
        <v>15</v>
      </c>
      <c r="E446" s="5" t="s">
        <v>23</v>
      </c>
      <c r="N446" s="4" t="s">
        <v>73</v>
      </c>
      <c r="O446" s="6">
        <v>45136</v>
      </c>
      <c r="P446" s="11">
        <v>45155</v>
      </c>
      <c r="Q446" s="9">
        <f ca="1">IF(P446="",TODAY()-O446,P446-O446)</f>
        <v>19</v>
      </c>
      <c r="R446" s="4" t="s">
        <v>43</v>
      </c>
      <c r="S446" s="5" t="s">
        <v>26</v>
      </c>
      <c r="T446" s="4" t="s">
        <v>112</v>
      </c>
    </row>
    <row r="447" spans="1:26" x14ac:dyDescent="0.25">
      <c r="A447" s="7" t="s">
        <v>1373</v>
      </c>
      <c r="B447" s="7" t="s">
        <v>1071</v>
      </c>
      <c r="C447" s="5" t="s">
        <v>620</v>
      </c>
      <c r="N447" s="4" t="s">
        <v>73</v>
      </c>
      <c r="O447" s="6">
        <v>45136</v>
      </c>
      <c r="Q447" s="9">
        <f ca="1">IF(P447="",TODAY()-O447,P447-O447)</f>
        <v>433</v>
      </c>
      <c r="R447" s="4" t="s">
        <v>43</v>
      </c>
      <c r="S447" s="5" t="s">
        <v>26</v>
      </c>
      <c r="T447" s="4" t="s">
        <v>112</v>
      </c>
    </row>
    <row r="448" spans="1:26" x14ac:dyDescent="0.25">
      <c r="A448" s="7" t="s">
        <v>1374</v>
      </c>
      <c r="B448" s="7" t="s">
        <v>1071</v>
      </c>
      <c r="C448" s="5" t="s">
        <v>620</v>
      </c>
      <c r="N448" s="4" t="s">
        <v>73</v>
      </c>
      <c r="O448" s="6">
        <v>45136</v>
      </c>
      <c r="P448" s="11">
        <v>45159</v>
      </c>
      <c r="Q448" s="9">
        <f ca="1">IF(P448="",TODAY()-O448,P448-O448)</f>
        <v>23</v>
      </c>
      <c r="R448" s="4" t="s">
        <v>42</v>
      </c>
      <c r="S448" s="5" t="s">
        <v>26</v>
      </c>
      <c r="T448" s="4" t="s">
        <v>112</v>
      </c>
    </row>
    <row r="449" spans="1:26" x14ac:dyDescent="0.25">
      <c r="A449" s="7" t="s">
        <v>1377</v>
      </c>
      <c r="B449" s="7" t="s">
        <v>1071</v>
      </c>
      <c r="C449" s="5" t="s">
        <v>620</v>
      </c>
      <c r="E449" s="5" t="s">
        <v>24</v>
      </c>
      <c r="F449" s="4" t="s">
        <v>384</v>
      </c>
      <c r="N449" s="4" t="s">
        <v>73</v>
      </c>
      <c r="O449" s="6">
        <v>45136</v>
      </c>
      <c r="P449" s="11">
        <v>45138</v>
      </c>
      <c r="Q449" s="9">
        <f ca="1">IF(P449="",TODAY()-O449,P449-O449)</f>
        <v>2</v>
      </c>
      <c r="S449" s="5" t="s">
        <v>26</v>
      </c>
      <c r="T449" s="4" t="s">
        <v>38</v>
      </c>
      <c r="U449" s="5" t="s">
        <v>30</v>
      </c>
      <c r="W449" s="5" t="s">
        <v>38</v>
      </c>
      <c r="Z449" s="7" t="s">
        <v>1378</v>
      </c>
    </row>
    <row r="450" spans="1:26" x14ac:dyDescent="0.25">
      <c r="A450" s="7" t="s">
        <v>2071</v>
      </c>
      <c r="B450" s="7" t="s">
        <v>1071</v>
      </c>
      <c r="C450" s="5" t="s">
        <v>12</v>
      </c>
      <c r="D450" s="4" t="s">
        <v>127</v>
      </c>
      <c r="E450" s="5" t="s">
        <v>23</v>
      </c>
      <c r="F450" s="4" t="s">
        <v>799</v>
      </c>
      <c r="N450" s="4" t="s">
        <v>73</v>
      </c>
      <c r="O450" s="6">
        <v>45137</v>
      </c>
      <c r="P450" s="11">
        <v>45231</v>
      </c>
      <c r="Q450" s="9">
        <f ca="1">IF(P450="",TODAY()-O450,P450-O450)</f>
        <v>94</v>
      </c>
      <c r="S450" s="5" t="s">
        <v>121</v>
      </c>
      <c r="U450" s="5" t="s">
        <v>29</v>
      </c>
      <c r="V450" s="4">
        <v>969</v>
      </c>
      <c r="W450" s="5" t="s">
        <v>39</v>
      </c>
      <c r="Z450" s="7" t="s">
        <v>2070</v>
      </c>
    </row>
    <row r="451" spans="1:26" x14ac:dyDescent="0.25">
      <c r="A451" s="7" t="s">
        <v>1399</v>
      </c>
      <c r="B451" s="7" t="s">
        <v>1071</v>
      </c>
      <c r="C451" s="5" t="s">
        <v>12</v>
      </c>
      <c r="D451" s="4" t="s">
        <v>17</v>
      </c>
      <c r="E451" s="5" t="s">
        <v>24</v>
      </c>
      <c r="F451" s="4" t="s">
        <v>2104</v>
      </c>
      <c r="G451" s="9" t="s">
        <v>51</v>
      </c>
      <c r="H451" s="32">
        <v>45147</v>
      </c>
      <c r="I451" s="33">
        <v>45170</v>
      </c>
      <c r="J451" s="4" t="s">
        <v>101</v>
      </c>
      <c r="K451" s="6">
        <v>45147</v>
      </c>
      <c r="N451" s="4" t="s">
        <v>73</v>
      </c>
      <c r="O451" s="6">
        <v>45138</v>
      </c>
      <c r="Q451" s="9">
        <f ca="1">IF(P451="",TODAY()-O451,P451-O451)</f>
        <v>431</v>
      </c>
      <c r="S451" s="5" t="s">
        <v>26</v>
      </c>
      <c r="T451" s="4" t="s">
        <v>1385</v>
      </c>
      <c r="U451" s="5" t="s">
        <v>29</v>
      </c>
      <c r="V451" s="4">
        <v>970</v>
      </c>
      <c r="W451" s="5" t="s">
        <v>39</v>
      </c>
      <c r="X451" s="38" t="s">
        <v>2105</v>
      </c>
      <c r="Y451" s="44">
        <v>45147</v>
      </c>
      <c r="Z451" s="7" t="s">
        <v>1379</v>
      </c>
    </row>
    <row r="452" spans="1:26" x14ac:dyDescent="0.25">
      <c r="A452" s="7" t="s">
        <v>1386</v>
      </c>
      <c r="B452" s="7" t="s">
        <v>1071</v>
      </c>
      <c r="C452" s="5" t="s">
        <v>12</v>
      </c>
      <c r="D452" s="4" t="s">
        <v>16</v>
      </c>
      <c r="E452" s="5" t="s">
        <v>22</v>
      </c>
      <c r="F452" s="4" t="s">
        <v>640</v>
      </c>
      <c r="G452" s="9" t="s">
        <v>50</v>
      </c>
      <c r="H452" s="32">
        <v>45143</v>
      </c>
      <c r="J452" s="4" t="s">
        <v>101</v>
      </c>
      <c r="N452" s="4" t="s">
        <v>73</v>
      </c>
      <c r="O452" s="6">
        <v>45138</v>
      </c>
      <c r="P452" s="11">
        <v>45162</v>
      </c>
      <c r="Q452" s="9">
        <f ca="1">IF(P452="",TODAY()-O452,P452-O452)</f>
        <v>24</v>
      </c>
      <c r="R452" s="4" t="s">
        <v>43</v>
      </c>
      <c r="S452" s="5" t="s">
        <v>26</v>
      </c>
      <c r="T452" s="4" t="s">
        <v>199</v>
      </c>
      <c r="U452" s="5" t="s">
        <v>29</v>
      </c>
      <c r="V452" s="4">
        <v>971</v>
      </c>
      <c r="W452" s="5" t="s">
        <v>39</v>
      </c>
      <c r="X452" s="38" t="s">
        <v>1595</v>
      </c>
      <c r="Z452" s="7" t="s">
        <v>1457</v>
      </c>
    </row>
    <row r="453" spans="1:26" x14ac:dyDescent="0.25">
      <c r="A453" s="7" t="s">
        <v>1267</v>
      </c>
      <c r="B453" s="7" t="s">
        <v>1071</v>
      </c>
      <c r="C453" s="5" t="s">
        <v>12</v>
      </c>
      <c r="D453" s="4" t="s">
        <v>20</v>
      </c>
      <c r="E453" s="5" t="s">
        <v>23</v>
      </c>
      <c r="F453" s="4" t="s">
        <v>384</v>
      </c>
      <c r="N453" s="4" t="s">
        <v>9</v>
      </c>
      <c r="O453" s="6">
        <v>45138</v>
      </c>
      <c r="P453" s="11">
        <v>45138</v>
      </c>
      <c r="Q453" s="9">
        <f ca="1">IF(P453="",TODAY()-O453,P453-O453)</f>
        <v>0</v>
      </c>
      <c r="R453" s="4" t="s">
        <v>42</v>
      </c>
      <c r="S453" s="5" t="s">
        <v>631</v>
      </c>
      <c r="U453" s="5" t="s">
        <v>33</v>
      </c>
      <c r="W453" s="5" t="s">
        <v>112</v>
      </c>
      <c r="Z453" s="7" t="s">
        <v>1390</v>
      </c>
    </row>
    <row r="454" spans="1:26" x14ac:dyDescent="0.25">
      <c r="A454" s="7" t="s">
        <v>1391</v>
      </c>
      <c r="B454" s="7" t="s">
        <v>1071</v>
      </c>
      <c r="C454" s="5" t="s">
        <v>12</v>
      </c>
      <c r="D454" s="4" t="s">
        <v>20</v>
      </c>
      <c r="E454" s="5" t="s">
        <v>25</v>
      </c>
      <c r="F454" s="4" t="s">
        <v>384</v>
      </c>
      <c r="N454" s="4" t="s">
        <v>73</v>
      </c>
      <c r="O454" s="6">
        <v>45138</v>
      </c>
      <c r="P454" s="11">
        <v>45146</v>
      </c>
      <c r="Q454" s="9">
        <f ca="1">IF(P454="",TODAY()-O454,P454-O454)</f>
        <v>8</v>
      </c>
      <c r="R454" s="4" t="s">
        <v>43</v>
      </c>
      <c r="S454" s="5" t="s">
        <v>631</v>
      </c>
      <c r="T454" s="4" t="s">
        <v>112</v>
      </c>
      <c r="U454" s="5" t="s">
        <v>33</v>
      </c>
      <c r="W454" s="5" t="s">
        <v>112</v>
      </c>
      <c r="Z454" s="7" t="s">
        <v>1392</v>
      </c>
    </row>
    <row r="455" spans="1:26" x14ac:dyDescent="0.25">
      <c r="A455" s="7" t="s">
        <v>1395</v>
      </c>
      <c r="B455" s="7" t="s">
        <v>1071</v>
      </c>
      <c r="C455" s="5" t="s">
        <v>12</v>
      </c>
      <c r="D455" s="4" t="s">
        <v>17</v>
      </c>
      <c r="E455" s="5" t="s">
        <v>25</v>
      </c>
      <c r="F455" s="4" t="s">
        <v>384</v>
      </c>
      <c r="K455" s="6">
        <v>45140</v>
      </c>
      <c r="L455" s="56"/>
      <c r="M455" s="56"/>
      <c r="N455" s="4" t="s">
        <v>73</v>
      </c>
      <c r="O455" s="6">
        <v>45139</v>
      </c>
      <c r="P455" s="11">
        <v>45139</v>
      </c>
      <c r="Q455" s="9">
        <f ca="1">IF(P455="",TODAY()-O455,P455-O455)</f>
        <v>0</v>
      </c>
      <c r="R455" s="4" t="s">
        <v>2039</v>
      </c>
      <c r="S455" s="5" t="s">
        <v>631</v>
      </c>
      <c r="T455" s="4" t="s">
        <v>112</v>
      </c>
      <c r="U455" s="5" t="s">
        <v>33</v>
      </c>
      <c r="W455" s="5" t="s">
        <v>112</v>
      </c>
      <c r="Z455" s="7" t="s">
        <v>1392</v>
      </c>
    </row>
    <row r="456" spans="1:26" x14ac:dyDescent="0.25">
      <c r="A456" s="7" t="s">
        <v>1404</v>
      </c>
      <c r="B456" s="7" t="s">
        <v>1071</v>
      </c>
      <c r="C456" s="5" t="s">
        <v>620</v>
      </c>
      <c r="D456" s="4" t="s">
        <v>14</v>
      </c>
      <c r="E456" s="5" t="s">
        <v>24</v>
      </c>
      <c r="F456" s="4" t="s">
        <v>384</v>
      </c>
      <c r="K456" s="6">
        <v>45140</v>
      </c>
      <c r="L456" s="56"/>
      <c r="M456" s="56"/>
      <c r="N456" s="4" t="s">
        <v>9</v>
      </c>
      <c r="O456" s="6">
        <v>45139</v>
      </c>
      <c r="P456" s="11">
        <v>45140</v>
      </c>
      <c r="Q456" s="9">
        <f ca="1">IF(P456="",TODAY()-O456,P456-O456)</f>
        <v>1</v>
      </c>
      <c r="R456" s="4" t="s">
        <v>896</v>
      </c>
      <c r="S456" s="5" t="s">
        <v>631</v>
      </c>
      <c r="U456" s="5" t="s">
        <v>33</v>
      </c>
      <c r="W456" s="5" t="s">
        <v>112</v>
      </c>
      <c r="Z456" s="7" t="s">
        <v>1405</v>
      </c>
    </row>
    <row r="457" spans="1:26" x14ac:dyDescent="0.25">
      <c r="A457" s="7" t="s">
        <v>1406</v>
      </c>
      <c r="B457" s="7" t="s">
        <v>1071</v>
      </c>
      <c r="C457" s="5" t="s">
        <v>12</v>
      </c>
      <c r="D457" s="4" t="s">
        <v>17</v>
      </c>
      <c r="E457" s="5" t="s">
        <v>24</v>
      </c>
      <c r="F457" s="4" t="s">
        <v>384</v>
      </c>
      <c r="K457" s="6">
        <v>45140</v>
      </c>
      <c r="L457" s="56"/>
      <c r="M457" s="56"/>
      <c r="N457" s="4" t="s">
        <v>9</v>
      </c>
      <c r="O457" s="6">
        <v>45139</v>
      </c>
      <c r="P457" s="11">
        <v>45140</v>
      </c>
      <c r="Q457" s="9">
        <f ca="1">IF(P457="",TODAY()-O457,P457-O457)</f>
        <v>1</v>
      </c>
      <c r="R457" s="4" t="s">
        <v>896</v>
      </c>
      <c r="S457" s="5" t="s">
        <v>631</v>
      </c>
      <c r="U457" s="5" t="s">
        <v>33</v>
      </c>
      <c r="W457" s="5" t="s">
        <v>112</v>
      </c>
      <c r="Z457" s="7" t="s">
        <v>1405</v>
      </c>
    </row>
    <row r="458" spans="1:26" x14ac:dyDescent="0.25">
      <c r="A458" s="7" t="s">
        <v>1410</v>
      </c>
      <c r="B458" s="7" t="s">
        <v>1071</v>
      </c>
      <c r="C458" s="5" t="s">
        <v>12</v>
      </c>
      <c r="D458" s="4" t="s">
        <v>16</v>
      </c>
      <c r="E458" s="5" t="s">
        <v>25</v>
      </c>
      <c r="F458" s="4" t="s">
        <v>384</v>
      </c>
      <c r="K458" s="6">
        <v>45140</v>
      </c>
      <c r="L458" s="56"/>
      <c r="M458" s="56"/>
      <c r="N458" s="4" t="s">
        <v>73</v>
      </c>
      <c r="O458" s="6">
        <v>45139</v>
      </c>
      <c r="P458" s="11">
        <v>45145</v>
      </c>
      <c r="Q458" s="9">
        <f ca="1">IF(P458="",TODAY()-O458,P458-O458)</f>
        <v>6</v>
      </c>
      <c r="R458" s="4" t="s">
        <v>896</v>
      </c>
      <c r="S458" s="5" t="s">
        <v>631</v>
      </c>
      <c r="T458" s="4" t="s">
        <v>112</v>
      </c>
      <c r="U458" s="5" t="s">
        <v>33</v>
      </c>
      <c r="W458" s="5" t="s">
        <v>112</v>
      </c>
      <c r="Z458" s="7" t="s">
        <v>1405</v>
      </c>
    </row>
    <row r="459" spans="1:26" x14ac:dyDescent="0.25">
      <c r="A459" s="7" t="s">
        <v>1396</v>
      </c>
      <c r="B459" s="7" t="s">
        <v>1071</v>
      </c>
      <c r="C459" s="5" t="s">
        <v>12</v>
      </c>
      <c r="D459" s="4" t="s">
        <v>311</v>
      </c>
      <c r="E459" s="5" t="s">
        <v>25</v>
      </c>
      <c r="F459" s="4" t="s">
        <v>384</v>
      </c>
      <c r="G459" s="9" t="s">
        <v>51</v>
      </c>
      <c r="H459" s="32">
        <v>45149</v>
      </c>
      <c r="I459" s="33">
        <v>45175</v>
      </c>
      <c r="J459" s="4" t="s">
        <v>503</v>
      </c>
      <c r="K459" s="6">
        <v>45149</v>
      </c>
      <c r="L459" s="56"/>
      <c r="M459" s="56"/>
      <c r="N459" s="4" t="s">
        <v>73</v>
      </c>
      <c r="O459" s="6">
        <v>45139</v>
      </c>
      <c r="Q459" s="9">
        <f ca="1">IF(P459="",TODAY()-O459,P459-O459)</f>
        <v>430</v>
      </c>
      <c r="S459" s="5" t="s">
        <v>631</v>
      </c>
      <c r="T459" s="4" t="s">
        <v>38</v>
      </c>
      <c r="U459" s="5" t="s">
        <v>30</v>
      </c>
      <c r="W459" s="5" t="s">
        <v>38</v>
      </c>
      <c r="X459" s="38" t="s">
        <v>1811</v>
      </c>
      <c r="Y459" s="44">
        <v>45149</v>
      </c>
      <c r="Z459" s="7" t="s">
        <v>1985</v>
      </c>
    </row>
    <row r="460" spans="1:26" x14ac:dyDescent="0.25">
      <c r="A460" s="7" t="s">
        <v>1397</v>
      </c>
      <c r="B460" s="7" t="s">
        <v>1071</v>
      </c>
      <c r="C460" s="5" t="s">
        <v>12</v>
      </c>
      <c r="D460" s="4" t="s">
        <v>311</v>
      </c>
      <c r="E460" s="5" t="s">
        <v>25</v>
      </c>
      <c r="F460" s="4" t="s">
        <v>1809</v>
      </c>
      <c r="K460" s="6">
        <v>45223</v>
      </c>
      <c r="L460" s="56"/>
      <c r="M460" s="56"/>
      <c r="N460" s="4" t="s">
        <v>73</v>
      </c>
      <c r="O460" s="6">
        <v>45139</v>
      </c>
      <c r="P460" s="11">
        <v>45254</v>
      </c>
      <c r="Q460" s="9">
        <f ca="1">IF(P460="",TODAY()-O460,P460-O460)</f>
        <v>115</v>
      </c>
      <c r="R460" s="4" t="s">
        <v>41</v>
      </c>
      <c r="S460" s="5" t="s">
        <v>631</v>
      </c>
      <c r="T460" s="4" t="s">
        <v>38</v>
      </c>
      <c r="U460" s="5" t="s">
        <v>30</v>
      </c>
      <c r="W460" s="5" t="s">
        <v>38</v>
      </c>
      <c r="Z460" s="7" t="s">
        <v>1812</v>
      </c>
    </row>
    <row r="461" spans="1:26" x14ac:dyDescent="0.25">
      <c r="A461" s="7" t="s">
        <v>1398</v>
      </c>
      <c r="B461" s="7" t="s">
        <v>1071</v>
      </c>
      <c r="C461" s="5" t="s">
        <v>12</v>
      </c>
      <c r="D461" s="4" t="s">
        <v>311</v>
      </c>
      <c r="E461" s="5" t="s">
        <v>25</v>
      </c>
      <c r="F461" s="4" t="s">
        <v>1810</v>
      </c>
      <c r="K461" s="6">
        <v>45236</v>
      </c>
      <c r="L461" s="56"/>
      <c r="M461" s="56"/>
      <c r="N461" s="4" t="s">
        <v>73</v>
      </c>
      <c r="O461" s="6">
        <v>45139</v>
      </c>
      <c r="P461" s="11">
        <v>45254</v>
      </c>
      <c r="Q461" s="9">
        <f ca="1">IF(P461="",TODAY()-O461,P461-O461)</f>
        <v>115</v>
      </c>
      <c r="R461" s="4" t="s">
        <v>41</v>
      </c>
      <c r="S461" s="5" t="s">
        <v>631</v>
      </c>
      <c r="T461" s="4" t="s">
        <v>38</v>
      </c>
      <c r="U461" s="5" t="s">
        <v>30</v>
      </c>
      <c r="W461" s="5" t="s">
        <v>38</v>
      </c>
      <c r="Z461" s="7" t="s">
        <v>1984</v>
      </c>
    </row>
    <row r="462" spans="1:26" x14ac:dyDescent="0.25">
      <c r="A462" s="7" t="s">
        <v>1407</v>
      </c>
      <c r="B462" s="7" t="s">
        <v>1071</v>
      </c>
      <c r="C462" s="5" t="s">
        <v>12</v>
      </c>
      <c r="D462" s="4" t="s">
        <v>17</v>
      </c>
      <c r="E462" s="5" t="s">
        <v>23</v>
      </c>
      <c r="F462" s="4" t="s">
        <v>384</v>
      </c>
      <c r="N462" s="4" t="s">
        <v>73</v>
      </c>
      <c r="O462" s="6">
        <v>45140</v>
      </c>
      <c r="Q462" s="9">
        <f ca="1">IF(P462="",TODAY()-O462,P462-O462)</f>
        <v>429</v>
      </c>
      <c r="R462" s="4" t="s">
        <v>43</v>
      </c>
      <c r="S462" s="5" t="s">
        <v>26</v>
      </c>
      <c r="T462" s="4" t="s">
        <v>38</v>
      </c>
      <c r="W462" s="5" t="s">
        <v>38</v>
      </c>
      <c r="Z462" s="7" t="s">
        <v>1815</v>
      </c>
    </row>
    <row r="463" spans="1:26" x14ac:dyDescent="0.25">
      <c r="A463" s="7" t="s">
        <v>1408</v>
      </c>
      <c r="B463" s="7" t="s">
        <v>1071</v>
      </c>
      <c r="C463" s="5" t="s">
        <v>12</v>
      </c>
      <c r="D463" s="4" t="s">
        <v>17</v>
      </c>
      <c r="F463" s="4" t="s">
        <v>494</v>
      </c>
      <c r="N463" s="4" t="s">
        <v>73</v>
      </c>
      <c r="O463" s="6">
        <v>45140</v>
      </c>
      <c r="Q463" s="9">
        <f ca="1">IF(P463="",TODAY()-O463,P463-O463)</f>
        <v>429</v>
      </c>
      <c r="R463" s="4" t="s">
        <v>43</v>
      </c>
      <c r="S463" s="5" t="s">
        <v>26</v>
      </c>
      <c r="T463" s="4" t="s">
        <v>38</v>
      </c>
      <c r="W463" s="5" t="s">
        <v>38</v>
      </c>
    </row>
    <row r="464" spans="1:26" x14ac:dyDescent="0.25">
      <c r="A464" s="7" t="s">
        <v>1560</v>
      </c>
      <c r="B464" s="7" t="s">
        <v>1071</v>
      </c>
      <c r="C464" s="5" t="s">
        <v>12</v>
      </c>
      <c r="D464" s="4" t="s">
        <v>14</v>
      </c>
      <c r="E464" s="5" t="s">
        <v>24</v>
      </c>
      <c r="F464" s="4" t="s">
        <v>547</v>
      </c>
      <c r="G464" s="9" t="s">
        <v>51</v>
      </c>
      <c r="H464" s="32">
        <v>45143</v>
      </c>
      <c r="I464" s="33">
        <v>45184</v>
      </c>
      <c r="J464" s="4" t="s">
        <v>101</v>
      </c>
      <c r="K464" s="6">
        <v>45204</v>
      </c>
      <c r="L464" s="56"/>
      <c r="M464" s="56"/>
      <c r="N464" s="4" t="s">
        <v>73</v>
      </c>
      <c r="O464" s="6">
        <v>45141</v>
      </c>
      <c r="P464" s="11">
        <v>45222</v>
      </c>
      <c r="Q464" s="9">
        <f ca="1">IF(P464="",TODAY()-O464,P464-O464)</f>
        <v>81</v>
      </c>
      <c r="R464" s="4" t="s">
        <v>41</v>
      </c>
      <c r="S464" s="5" t="s">
        <v>27</v>
      </c>
      <c r="T464" s="4" t="s">
        <v>112</v>
      </c>
      <c r="U464" s="5" t="s">
        <v>29</v>
      </c>
      <c r="V464" s="4">
        <v>972</v>
      </c>
      <c r="W464" s="5" t="s">
        <v>39</v>
      </c>
      <c r="Z464" s="7" t="s">
        <v>1708</v>
      </c>
    </row>
    <row r="465" spans="1:26" x14ac:dyDescent="0.25">
      <c r="A465" s="7" t="s">
        <v>1412</v>
      </c>
      <c r="B465" s="7" t="s">
        <v>1071</v>
      </c>
      <c r="C465" s="5" t="s">
        <v>12</v>
      </c>
      <c r="D465" s="4" t="s">
        <v>20</v>
      </c>
      <c r="E465" s="5" t="s">
        <v>22</v>
      </c>
      <c r="F465" s="4" t="s">
        <v>583</v>
      </c>
      <c r="N465" s="4" t="s">
        <v>73</v>
      </c>
      <c r="O465" s="6">
        <v>45142</v>
      </c>
      <c r="Q465" s="9">
        <f ca="1">IF(P465="",TODAY()-O465,P465-O465)</f>
        <v>427</v>
      </c>
      <c r="S465" s="5" t="s">
        <v>26</v>
      </c>
      <c r="T465" s="4" t="s">
        <v>112</v>
      </c>
      <c r="U465" s="5" t="s">
        <v>30</v>
      </c>
      <c r="W465" s="5" t="s">
        <v>112</v>
      </c>
      <c r="Z465" s="7" t="s">
        <v>1480</v>
      </c>
    </row>
    <row r="466" spans="1:26" x14ac:dyDescent="0.25">
      <c r="A466" s="7" t="s">
        <v>1413</v>
      </c>
      <c r="B466" s="7" t="s">
        <v>1071</v>
      </c>
      <c r="C466" s="5" t="s">
        <v>12</v>
      </c>
      <c r="D466" s="4" t="s">
        <v>17</v>
      </c>
      <c r="E466" s="5" t="s">
        <v>2227</v>
      </c>
      <c r="F466" s="4" t="s">
        <v>583</v>
      </c>
      <c r="N466" s="4" t="s">
        <v>73</v>
      </c>
      <c r="O466" s="6">
        <v>45142</v>
      </c>
      <c r="Q466" s="9">
        <f ca="1">IF(P466="",TODAY()-O466,P466-O466)</f>
        <v>427</v>
      </c>
      <c r="S466" s="5" t="s">
        <v>26</v>
      </c>
      <c r="T466" s="4" t="s">
        <v>112</v>
      </c>
      <c r="U466" s="5" t="s">
        <v>30</v>
      </c>
      <c r="W466" s="5" t="s">
        <v>112</v>
      </c>
      <c r="Z466" s="7" t="s">
        <v>1462</v>
      </c>
    </row>
    <row r="467" spans="1:26" x14ac:dyDescent="0.25">
      <c r="A467" s="7" t="s">
        <v>1414</v>
      </c>
      <c r="B467" s="7" t="s">
        <v>1071</v>
      </c>
      <c r="C467" s="5" t="s">
        <v>12</v>
      </c>
      <c r="F467" s="4" t="s">
        <v>583</v>
      </c>
      <c r="N467" s="4" t="s">
        <v>73</v>
      </c>
      <c r="O467" s="6">
        <v>45142</v>
      </c>
      <c r="Q467" s="9">
        <f ca="1">IF(P467="",TODAY()-O467,P467-O467)</f>
        <v>427</v>
      </c>
      <c r="S467" s="5" t="s">
        <v>26</v>
      </c>
      <c r="T467" s="4" t="s">
        <v>112</v>
      </c>
      <c r="U467" s="5" t="s">
        <v>30</v>
      </c>
      <c r="W467" s="5" t="s">
        <v>112</v>
      </c>
      <c r="Z467" s="7" t="s">
        <v>1462</v>
      </c>
    </row>
    <row r="468" spans="1:26" x14ac:dyDescent="0.25">
      <c r="A468" s="7" t="s">
        <v>1473</v>
      </c>
      <c r="B468" s="7" t="s">
        <v>1071</v>
      </c>
      <c r="C468" s="5" t="s">
        <v>12</v>
      </c>
      <c r="D468" s="4" t="s">
        <v>17</v>
      </c>
      <c r="E468" s="5" t="s">
        <v>2227</v>
      </c>
      <c r="L468" s="7" t="s">
        <v>2016</v>
      </c>
      <c r="M468" s="7" t="s">
        <v>2016</v>
      </c>
      <c r="N468" s="4" t="s">
        <v>73</v>
      </c>
      <c r="O468" s="6">
        <v>45145</v>
      </c>
      <c r="P468" s="11">
        <v>45325</v>
      </c>
      <c r="Q468" s="9">
        <f ca="1">IF(P468="",TODAY()-O468,P468-O468)</f>
        <v>180</v>
      </c>
      <c r="R468" s="4" t="s">
        <v>42</v>
      </c>
      <c r="S468" s="5" t="s">
        <v>28</v>
      </c>
      <c r="W468" s="5" t="s">
        <v>112</v>
      </c>
    </row>
    <row r="469" spans="1:26" x14ac:dyDescent="0.25">
      <c r="A469" s="7" t="s">
        <v>1474</v>
      </c>
      <c r="B469" s="7" t="s">
        <v>1071</v>
      </c>
      <c r="C469" s="5" t="s">
        <v>12</v>
      </c>
      <c r="J469" s="4" t="s">
        <v>102</v>
      </c>
      <c r="K469" s="6"/>
      <c r="L469" s="56"/>
      <c r="M469" s="56"/>
      <c r="N469" s="4" t="s">
        <v>73</v>
      </c>
      <c r="O469" s="6">
        <v>45145</v>
      </c>
      <c r="Q469" s="9">
        <f ca="1">IF(P469="",TODAY()-O469,P469-O469)</f>
        <v>424</v>
      </c>
      <c r="S469" s="5" t="s">
        <v>28</v>
      </c>
      <c r="W469" s="5" t="s">
        <v>112</v>
      </c>
    </row>
    <row r="470" spans="1:26" x14ac:dyDescent="0.25">
      <c r="A470" s="7" t="s">
        <v>1475</v>
      </c>
      <c r="B470" s="7" t="s">
        <v>1071</v>
      </c>
      <c r="C470" s="5" t="s">
        <v>12</v>
      </c>
      <c r="N470" s="4" t="s">
        <v>73</v>
      </c>
      <c r="O470" s="6">
        <v>45145</v>
      </c>
      <c r="Q470" s="9">
        <f ca="1">IF(P470="",TODAY()-O470,P470-O470)</f>
        <v>424</v>
      </c>
      <c r="S470" s="5" t="s">
        <v>28</v>
      </c>
      <c r="W470" s="5" t="s">
        <v>112</v>
      </c>
    </row>
    <row r="471" spans="1:26" x14ac:dyDescent="0.25">
      <c r="A471" s="7" t="s">
        <v>1415</v>
      </c>
      <c r="B471" s="7" t="s">
        <v>1071</v>
      </c>
      <c r="C471" s="5" t="s">
        <v>12</v>
      </c>
      <c r="N471" s="4" t="s">
        <v>73</v>
      </c>
      <c r="O471" s="6">
        <v>45145</v>
      </c>
      <c r="Q471" s="9">
        <f ca="1">IF(P471="",TODAY()-O471,P471-O471)</f>
        <v>424</v>
      </c>
      <c r="S471" s="5" t="s">
        <v>28</v>
      </c>
      <c r="T471" s="4" t="s">
        <v>112</v>
      </c>
      <c r="W471" s="5" t="s">
        <v>112</v>
      </c>
    </row>
    <row r="472" spans="1:26" x14ac:dyDescent="0.25">
      <c r="A472" s="7" t="s">
        <v>1419</v>
      </c>
      <c r="B472" s="7" t="s">
        <v>1071</v>
      </c>
      <c r="C472" s="5" t="s">
        <v>12</v>
      </c>
      <c r="D472" s="4" t="s">
        <v>16</v>
      </c>
      <c r="E472" s="5" t="s">
        <v>23</v>
      </c>
      <c r="F472" s="4" t="s">
        <v>582</v>
      </c>
      <c r="G472" s="9" t="s">
        <v>51</v>
      </c>
      <c r="H472" s="32">
        <v>45180</v>
      </c>
      <c r="I472" s="33">
        <v>45200</v>
      </c>
      <c r="J472" s="4" t="s">
        <v>102</v>
      </c>
      <c r="N472" s="4" t="s">
        <v>73</v>
      </c>
      <c r="O472" s="6">
        <v>45146</v>
      </c>
      <c r="Q472" s="9">
        <f ca="1">IF(P472="",TODAY()-O472,P472-O472)</f>
        <v>423</v>
      </c>
      <c r="S472" s="5" t="s">
        <v>26</v>
      </c>
      <c r="T472" s="4" t="s">
        <v>1425</v>
      </c>
      <c r="U472" s="5" t="s">
        <v>33</v>
      </c>
      <c r="V472" s="4">
        <v>976.1</v>
      </c>
      <c r="W472" s="5" t="s">
        <v>39</v>
      </c>
      <c r="Y472" s="44">
        <v>45220</v>
      </c>
      <c r="Z472" s="7" t="s">
        <v>1836</v>
      </c>
    </row>
    <row r="473" spans="1:26" x14ac:dyDescent="0.25">
      <c r="A473" s="7" t="s">
        <v>1850</v>
      </c>
      <c r="B473" s="7" t="s">
        <v>1071</v>
      </c>
      <c r="C473" s="5" t="s">
        <v>12</v>
      </c>
      <c r="D473" s="4" t="s">
        <v>311</v>
      </c>
      <c r="E473" s="5" t="s">
        <v>22</v>
      </c>
      <c r="F473" s="4" t="s">
        <v>582</v>
      </c>
      <c r="G473" s="9" t="s">
        <v>51</v>
      </c>
      <c r="H473" s="32">
        <v>45180</v>
      </c>
      <c r="I473" s="33">
        <v>45200</v>
      </c>
      <c r="J473" s="4" t="s">
        <v>102</v>
      </c>
      <c r="N473" s="4" t="s">
        <v>73</v>
      </c>
      <c r="O473" s="6">
        <v>45146</v>
      </c>
      <c r="P473" s="11">
        <v>45265</v>
      </c>
      <c r="Q473" s="9">
        <f ca="1">IF(P473="",TODAY()-O473,P473-O473)</f>
        <v>119</v>
      </c>
      <c r="R473" s="4" t="s">
        <v>41</v>
      </c>
      <c r="S473" s="5" t="s">
        <v>26</v>
      </c>
      <c r="T473" s="4" t="s">
        <v>1425</v>
      </c>
      <c r="U473" s="5" t="s">
        <v>33</v>
      </c>
      <c r="V473" s="4">
        <v>976.2</v>
      </c>
      <c r="W473" s="5" t="s">
        <v>39</v>
      </c>
      <c r="X473" s="38" t="s">
        <v>1851</v>
      </c>
      <c r="Y473" s="44">
        <v>45220</v>
      </c>
      <c r="Z473" s="7" t="s">
        <v>1801</v>
      </c>
    </row>
    <row r="474" spans="1:26" x14ac:dyDescent="0.25">
      <c r="A474" s="7" t="s">
        <v>1803</v>
      </c>
      <c r="B474" s="7" t="s">
        <v>1071</v>
      </c>
      <c r="C474" s="5" t="s">
        <v>12</v>
      </c>
      <c r="D474" s="4" t="s">
        <v>311</v>
      </c>
      <c r="E474" s="5" t="s">
        <v>22</v>
      </c>
      <c r="F474" s="4" t="s">
        <v>582</v>
      </c>
      <c r="G474" s="9" t="s">
        <v>51</v>
      </c>
      <c r="H474" s="32">
        <v>45180</v>
      </c>
      <c r="I474" s="33">
        <v>45200</v>
      </c>
      <c r="J474" s="4" t="s">
        <v>102</v>
      </c>
      <c r="N474" s="4" t="s">
        <v>73</v>
      </c>
      <c r="O474" s="6">
        <v>45146</v>
      </c>
      <c r="P474" s="11">
        <v>45251</v>
      </c>
      <c r="Q474" s="9">
        <f ca="1">IF(P474="",TODAY()-O474,P474-O474)</f>
        <v>105</v>
      </c>
      <c r="R474" s="4" t="s">
        <v>41</v>
      </c>
      <c r="S474" s="5" t="s">
        <v>26</v>
      </c>
      <c r="T474" s="4" t="s">
        <v>1425</v>
      </c>
      <c r="U474" s="5" t="s">
        <v>33</v>
      </c>
      <c r="V474" s="4">
        <v>976.3</v>
      </c>
      <c r="W474" s="5" t="s">
        <v>39</v>
      </c>
      <c r="X474" s="38" t="s">
        <v>1800</v>
      </c>
      <c r="Y474" s="44">
        <v>45220</v>
      </c>
      <c r="Z474" s="7" t="s">
        <v>1802</v>
      </c>
    </row>
    <row r="475" spans="1:26" x14ac:dyDescent="0.25">
      <c r="A475" s="7" t="s">
        <v>1420</v>
      </c>
      <c r="B475" s="7" t="s">
        <v>1071</v>
      </c>
      <c r="C475" s="5" t="s">
        <v>12</v>
      </c>
      <c r="D475" s="4" t="s">
        <v>311</v>
      </c>
      <c r="E475" s="5" t="s">
        <v>22</v>
      </c>
      <c r="F475" s="4" t="s">
        <v>582</v>
      </c>
      <c r="G475" s="9" t="s">
        <v>51</v>
      </c>
      <c r="H475" s="32">
        <v>45180</v>
      </c>
      <c r="I475" s="33">
        <v>45200</v>
      </c>
      <c r="J475" s="4" t="s">
        <v>102</v>
      </c>
      <c r="N475" s="4" t="s">
        <v>73</v>
      </c>
      <c r="O475" s="6">
        <v>45146</v>
      </c>
      <c r="P475" s="11">
        <v>45253</v>
      </c>
      <c r="Q475" s="9">
        <f ca="1">IF(P475="",TODAY()-O475,P475-O475)</f>
        <v>107</v>
      </c>
      <c r="R475" s="4" t="s">
        <v>41</v>
      </c>
      <c r="S475" s="5" t="s">
        <v>26</v>
      </c>
      <c r="T475" s="4" t="s">
        <v>1425</v>
      </c>
      <c r="U475" s="5" t="s">
        <v>33</v>
      </c>
      <c r="V475" s="4">
        <v>976.4</v>
      </c>
      <c r="W475" s="5" t="s">
        <v>39</v>
      </c>
      <c r="X475" s="38" t="s">
        <v>1806</v>
      </c>
      <c r="Y475" s="44">
        <v>45220</v>
      </c>
      <c r="Z475" s="7" t="s">
        <v>1808</v>
      </c>
    </row>
    <row r="476" spans="1:26" x14ac:dyDescent="0.25">
      <c r="A476" s="7" t="s">
        <v>1421</v>
      </c>
      <c r="B476" s="7" t="s">
        <v>1071</v>
      </c>
      <c r="C476" s="5" t="s">
        <v>12</v>
      </c>
      <c r="D476" s="4" t="s">
        <v>311</v>
      </c>
      <c r="E476" s="5" t="s">
        <v>22</v>
      </c>
      <c r="F476" s="4" t="s">
        <v>582</v>
      </c>
      <c r="G476" s="9" t="s">
        <v>51</v>
      </c>
      <c r="H476" s="32">
        <v>45180</v>
      </c>
      <c r="I476" s="33">
        <v>45200</v>
      </c>
      <c r="J476" s="4" t="s">
        <v>102</v>
      </c>
      <c r="N476" s="4" t="s">
        <v>73</v>
      </c>
      <c r="O476" s="6">
        <v>45146</v>
      </c>
      <c r="P476" s="11">
        <v>45253</v>
      </c>
      <c r="Q476" s="9">
        <f ca="1">IF(P476="",TODAY()-O476,P476-O476)</f>
        <v>107</v>
      </c>
      <c r="R476" s="4" t="s">
        <v>41</v>
      </c>
      <c r="S476" s="5" t="s">
        <v>26</v>
      </c>
      <c r="T476" s="4" t="s">
        <v>1425</v>
      </c>
      <c r="U476" s="5" t="s">
        <v>33</v>
      </c>
      <c r="V476" s="4">
        <v>976.5</v>
      </c>
      <c r="W476" s="5" t="s">
        <v>39</v>
      </c>
      <c r="X476" s="38" t="s">
        <v>1807</v>
      </c>
      <c r="Y476" s="44">
        <v>45220</v>
      </c>
      <c r="Z476" s="7" t="s">
        <v>1808</v>
      </c>
    </row>
    <row r="477" spans="1:26" x14ac:dyDescent="0.25">
      <c r="A477" s="7" t="s">
        <v>1832</v>
      </c>
      <c r="B477" s="7" t="s">
        <v>1071</v>
      </c>
      <c r="C477" s="5" t="s">
        <v>12</v>
      </c>
      <c r="D477" s="4" t="s">
        <v>17</v>
      </c>
      <c r="E477" s="5" t="s">
        <v>23</v>
      </c>
      <c r="F477" s="4" t="s">
        <v>1152</v>
      </c>
      <c r="N477" s="4" t="s">
        <v>73</v>
      </c>
      <c r="O477" s="6">
        <v>45146</v>
      </c>
      <c r="Q477" s="9">
        <f ca="1">IF(P477="",TODAY()-O477,P477-O477)</f>
        <v>423</v>
      </c>
      <c r="S477" s="5" t="s">
        <v>26</v>
      </c>
      <c r="T477" s="4" t="s">
        <v>1831</v>
      </c>
      <c r="U477" s="5" t="s">
        <v>29</v>
      </c>
      <c r="V477" s="4">
        <v>975</v>
      </c>
      <c r="W477" s="5" t="s">
        <v>39</v>
      </c>
      <c r="Z477" s="7" t="s">
        <v>1833</v>
      </c>
    </row>
    <row r="478" spans="1:26" x14ac:dyDescent="0.25">
      <c r="A478" s="7" t="s">
        <v>1816</v>
      </c>
      <c r="B478" s="7" t="s">
        <v>1071</v>
      </c>
      <c r="C478" s="5" t="s">
        <v>12</v>
      </c>
      <c r="D478" s="4" t="s">
        <v>16</v>
      </c>
      <c r="E478" s="5" t="s">
        <v>25</v>
      </c>
      <c r="F478" s="4" t="s">
        <v>591</v>
      </c>
      <c r="G478" s="9" t="s">
        <v>51</v>
      </c>
      <c r="H478" s="32">
        <v>45156</v>
      </c>
      <c r="I478" s="33">
        <v>45196</v>
      </c>
      <c r="J478" s="4" t="s">
        <v>102</v>
      </c>
      <c r="K478" s="6">
        <v>45156</v>
      </c>
      <c r="L478" s="56"/>
      <c r="M478" s="56"/>
      <c r="N478" s="4" t="s">
        <v>73</v>
      </c>
      <c r="O478" s="6">
        <v>45149</v>
      </c>
      <c r="P478" s="11">
        <v>45255</v>
      </c>
      <c r="Q478" s="9">
        <f ca="1">IF(P478="",TODAY()-O478,P478-O478)</f>
        <v>106</v>
      </c>
      <c r="R478" s="4" t="s">
        <v>41</v>
      </c>
      <c r="S478" s="5" t="s">
        <v>27</v>
      </c>
      <c r="T478" s="4" t="s">
        <v>112</v>
      </c>
      <c r="U478" s="5" t="s">
        <v>33</v>
      </c>
      <c r="W478" s="5" t="s">
        <v>39</v>
      </c>
      <c r="X478" s="38" t="s">
        <v>1869</v>
      </c>
      <c r="Y478" s="44">
        <v>45255</v>
      </c>
      <c r="Z478" s="7" t="s">
        <v>1818</v>
      </c>
    </row>
    <row r="479" spans="1:26" x14ac:dyDescent="0.25">
      <c r="A479" s="7" t="s">
        <v>1817</v>
      </c>
      <c r="B479" s="7" t="s">
        <v>1071</v>
      </c>
      <c r="C479" s="5" t="s">
        <v>12</v>
      </c>
      <c r="D479" s="4" t="s">
        <v>16</v>
      </c>
      <c r="E479" s="5" t="s">
        <v>25</v>
      </c>
      <c r="F479" s="4" t="s">
        <v>1322</v>
      </c>
      <c r="G479" s="9" t="s">
        <v>51</v>
      </c>
      <c r="H479" s="32">
        <v>45160</v>
      </c>
      <c r="I479" s="33">
        <v>45196</v>
      </c>
      <c r="J479" s="4" t="s">
        <v>102</v>
      </c>
      <c r="K479" s="6">
        <v>45260</v>
      </c>
      <c r="L479" s="56"/>
      <c r="M479" s="56"/>
      <c r="N479" s="4" t="s">
        <v>73</v>
      </c>
      <c r="O479" s="6">
        <v>45149</v>
      </c>
      <c r="P479" s="11">
        <v>45293</v>
      </c>
      <c r="Q479" s="9">
        <f ca="1">IF(P479="",TODAY()-O479,P479-O479)</f>
        <v>144</v>
      </c>
      <c r="R479" s="4" t="s">
        <v>41</v>
      </c>
      <c r="S479" s="5" t="s">
        <v>27</v>
      </c>
      <c r="T479" s="4" t="s">
        <v>112</v>
      </c>
      <c r="U479" s="5" t="s">
        <v>33</v>
      </c>
      <c r="V479" s="4">
        <v>987</v>
      </c>
      <c r="W479" s="5" t="s">
        <v>39</v>
      </c>
      <c r="X479" s="38" t="s">
        <v>1884</v>
      </c>
      <c r="Y479" s="44">
        <v>45260</v>
      </c>
      <c r="Z479" s="7" t="s">
        <v>1885</v>
      </c>
    </row>
    <row r="480" spans="1:26" x14ac:dyDescent="0.25">
      <c r="A480" s="7" t="s">
        <v>1535</v>
      </c>
      <c r="B480" s="7" t="s">
        <v>1071</v>
      </c>
      <c r="C480" s="5" t="s">
        <v>12</v>
      </c>
      <c r="N480" s="4" t="s">
        <v>73</v>
      </c>
      <c r="O480" s="6">
        <v>45149</v>
      </c>
      <c r="P480" s="11">
        <v>45175</v>
      </c>
      <c r="Q480" s="9">
        <f ca="1">IF(P480="",TODAY()-O480,P480-O480)</f>
        <v>26</v>
      </c>
      <c r="R480" s="4" t="s">
        <v>43</v>
      </c>
      <c r="S480" s="5" t="s">
        <v>26</v>
      </c>
      <c r="T480" s="4" t="s">
        <v>38</v>
      </c>
      <c r="Z480" s="7" t="s">
        <v>1954</v>
      </c>
    </row>
    <row r="481" spans="1:26" x14ac:dyDescent="0.25">
      <c r="A481" s="7" t="s">
        <v>1488</v>
      </c>
      <c r="B481" s="7" t="s">
        <v>1071</v>
      </c>
      <c r="C481" s="5" t="s">
        <v>12</v>
      </c>
      <c r="D481" s="4" t="s">
        <v>17</v>
      </c>
      <c r="E481" s="5" t="s">
        <v>23</v>
      </c>
      <c r="F481" s="4" t="s">
        <v>1485</v>
      </c>
      <c r="N481" s="4" t="s">
        <v>73</v>
      </c>
      <c r="O481" s="6">
        <v>45151</v>
      </c>
      <c r="Q481" s="9">
        <f ca="1">IF(P481="",TODAY()-O481,P481-O481)</f>
        <v>418</v>
      </c>
      <c r="S481" s="5" t="s">
        <v>26</v>
      </c>
      <c r="T481" s="4" t="s">
        <v>1456</v>
      </c>
      <c r="U481" s="5" t="s">
        <v>29</v>
      </c>
      <c r="V481" s="4">
        <v>979</v>
      </c>
      <c r="W481" s="5" t="s">
        <v>39</v>
      </c>
      <c r="Z481" s="7" t="s">
        <v>1486</v>
      </c>
    </row>
    <row r="482" spans="1:26" x14ac:dyDescent="0.25">
      <c r="A482" s="7" t="s">
        <v>1446</v>
      </c>
      <c r="B482" s="7" t="s">
        <v>1071</v>
      </c>
      <c r="C482" s="5" t="s">
        <v>12</v>
      </c>
      <c r="N482" s="4" t="s">
        <v>9</v>
      </c>
      <c r="O482" s="6">
        <v>45155</v>
      </c>
      <c r="P482" s="11">
        <v>45155</v>
      </c>
      <c r="Q482" s="9">
        <f ca="1">IF(P482="",TODAY()-O482,P482-O482)</f>
        <v>0</v>
      </c>
      <c r="R482" s="4" t="s">
        <v>42</v>
      </c>
      <c r="S482" s="5" t="s">
        <v>631</v>
      </c>
      <c r="U482" s="5" t="s">
        <v>30</v>
      </c>
      <c r="W482" s="5" t="s">
        <v>112</v>
      </c>
      <c r="Z482" s="7" t="s">
        <v>1443</v>
      </c>
    </row>
    <row r="483" spans="1:26" x14ac:dyDescent="0.25">
      <c r="A483" s="7" t="s">
        <v>1442</v>
      </c>
      <c r="B483" s="7" t="s">
        <v>1071</v>
      </c>
      <c r="C483" s="5" t="s">
        <v>620</v>
      </c>
      <c r="D483" s="4" t="s">
        <v>20</v>
      </c>
      <c r="E483" s="5" t="s">
        <v>22</v>
      </c>
      <c r="F483" s="4" t="s">
        <v>384</v>
      </c>
      <c r="N483" s="4" t="s">
        <v>9</v>
      </c>
      <c r="O483" s="6">
        <v>45156</v>
      </c>
      <c r="P483" s="11">
        <v>45156</v>
      </c>
      <c r="Q483" s="9">
        <f ca="1">IF(P483="",TODAY()-O483,P483-O483)</f>
        <v>0</v>
      </c>
      <c r="R483" s="4" t="s">
        <v>42</v>
      </c>
      <c r="S483" s="5" t="s">
        <v>631</v>
      </c>
      <c r="U483" s="5" t="s">
        <v>33</v>
      </c>
      <c r="W483" s="5" t="s">
        <v>112</v>
      </c>
      <c r="Z483" s="7" t="s">
        <v>1443</v>
      </c>
    </row>
    <row r="484" spans="1:26" x14ac:dyDescent="0.25">
      <c r="A484" s="7" t="s">
        <v>1416</v>
      </c>
      <c r="B484" s="7" t="s">
        <v>1071</v>
      </c>
      <c r="C484" s="5" t="s">
        <v>12</v>
      </c>
      <c r="F484" s="4" t="s">
        <v>1472</v>
      </c>
      <c r="N484" s="4" t="s">
        <v>73</v>
      </c>
      <c r="O484" s="6">
        <v>45159</v>
      </c>
      <c r="P484" s="11">
        <v>45159</v>
      </c>
      <c r="Q484" s="9">
        <f ca="1">IF(P484="",TODAY()-O484,P484-O484)</f>
        <v>0</v>
      </c>
      <c r="R484" s="4" t="s">
        <v>43</v>
      </c>
      <c r="S484" s="5" t="s">
        <v>28</v>
      </c>
      <c r="T484" s="4" t="s">
        <v>112</v>
      </c>
      <c r="W484" s="5" t="s">
        <v>112</v>
      </c>
    </row>
    <row r="485" spans="1:26" x14ac:dyDescent="0.25">
      <c r="A485" s="7" t="s">
        <v>1417</v>
      </c>
      <c r="B485" s="7" t="s">
        <v>1071</v>
      </c>
      <c r="C485" s="5" t="s">
        <v>12</v>
      </c>
      <c r="D485" s="47"/>
      <c r="F485" s="4" t="s">
        <v>1472</v>
      </c>
      <c r="N485" s="4" t="s">
        <v>73</v>
      </c>
      <c r="O485" s="6">
        <v>45159</v>
      </c>
      <c r="P485" s="11">
        <v>45159</v>
      </c>
      <c r="Q485" s="9">
        <f ca="1">IF(P485="",TODAY()-O485,P485-O485)</f>
        <v>0</v>
      </c>
      <c r="R485" s="4" t="s">
        <v>43</v>
      </c>
      <c r="S485" s="5" t="s">
        <v>28</v>
      </c>
      <c r="T485" s="4" t="s">
        <v>112</v>
      </c>
      <c r="W485" s="5" t="s">
        <v>112</v>
      </c>
    </row>
    <row r="486" spans="1:26" x14ac:dyDescent="0.25">
      <c r="A486" s="7" t="s">
        <v>1418</v>
      </c>
      <c r="B486" s="7" t="s">
        <v>1071</v>
      </c>
      <c r="C486" s="5" t="s">
        <v>12</v>
      </c>
      <c r="F486" s="4" t="s">
        <v>1472</v>
      </c>
      <c r="N486" s="4" t="s">
        <v>73</v>
      </c>
      <c r="O486" s="6">
        <v>45159</v>
      </c>
      <c r="P486" s="11">
        <v>45199</v>
      </c>
      <c r="Q486" s="9">
        <f ca="1">IF(P486="",TODAY()-O486,P486-O486)</f>
        <v>40</v>
      </c>
      <c r="S486" s="5" t="s">
        <v>28</v>
      </c>
      <c r="T486" s="4" t="s">
        <v>112</v>
      </c>
      <c r="W486" s="5" t="s">
        <v>112</v>
      </c>
    </row>
    <row r="487" spans="1:26" x14ac:dyDescent="0.25">
      <c r="A487" s="7" t="s">
        <v>1468</v>
      </c>
      <c r="B487" s="7" t="s">
        <v>1071</v>
      </c>
      <c r="C487" s="5" t="s">
        <v>12</v>
      </c>
      <c r="F487" s="4" t="s">
        <v>1472</v>
      </c>
      <c r="N487" s="4" t="s">
        <v>73</v>
      </c>
      <c r="O487" s="6">
        <v>45159</v>
      </c>
      <c r="Q487" s="9">
        <f ca="1">IF(P487="",TODAY()-O487,P487-O487)</f>
        <v>410</v>
      </c>
      <c r="S487" s="5" t="s">
        <v>28</v>
      </c>
      <c r="T487" s="4" t="s">
        <v>112</v>
      </c>
      <c r="W487" s="5" t="s">
        <v>112</v>
      </c>
    </row>
    <row r="488" spans="1:26" x14ac:dyDescent="0.25">
      <c r="A488" s="7" t="s">
        <v>1469</v>
      </c>
      <c r="B488" s="7" t="s">
        <v>1071</v>
      </c>
      <c r="C488" s="5" t="s">
        <v>12</v>
      </c>
      <c r="F488" s="4" t="s">
        <v>1472</v>
      </c>
      <c r="N488" s="4" t="s">
        <v>73</v>
      </c>
      <c r="O488" s="6">
        <v>45159</v>
      </c>
      <c r="Q488" s="9">
        <f ca="1">IF(P488="",TODAY()-O488,P488-O488)</f>
        <v>410</v>
      </c>
      <c r="S488" s="5" t="s">
        <v>28</v>
      </c>
      <c r="T488" s="4" t="s">
        <v>112</v>
      </c>
      <c r="W488" s="5" t="s">
        <v>112</v>
      </c>
    </row>
    <row r="489" spans="1:26" x14ac:dyDescent="0.25">
      <c r="A489" s="7" t="s">
        <v>1470</v>
      </c>
      <c r="B489" s="7" t="s">
        <v>1071</v>
      </c>
      <c r="C489" s="5" t="s">
        <v>12</v>
      </c>
      <c r="F489" s="4" t="s">
        <v>1472</v>
      </c>
      <c r="N489" s="4" t="s">
        <v>73</v>
      </c>
      <c r="O489" s="6">
        <v>45159</v>
      </c>
      <c r="Q489" s="9">
        <f ca="1">IF(P489="",TODAY()-O489,P489-O489)</f>
        <v>410</v>
      </c>
      <c r="S489" s="5" t="s">
        <v>28</v>
      </c>
      <c r="T489" s="4" t="s">
        <v>112</v>
      </c>
      <c r="W489" s="5" t="s">
        <v>112</v>
      </c>
    </row>
    <row r="490" spans="1:26" x14ac:dyDescent="0.25">
      <c r="A490" s="7" t="s">
        <v>1471</v>
      </c>
      <c r="B490" s="7" t="s">
        <v>1071</v>
      </c>
      <c r="C490" s="5" t="s">
        <v>12</v>
      </c>
      <c r="F490" s="4" t="s">
        <v>1472</v>
      </c>
      <c r="N490" s="4" t="s">
        <v>73</v>
      </c>
      <c r="O490" s="6">
        <v>45159</v>
      </c>
      <c r="Q490" s="9">
        <f ca="1">IF(P490="",TODAY()-O490,P490-O490)</f>
        <v>410</v>
      </c>
      <c r="S490" s="5" t="s">
        <v>28</v>
      </c>
    </row>
    <row r="491" spans="1:26" x14ac:dyDescent="0.25">
      <c r="A491" s="7" t="s">
        <v>892</v>
      </c>
      <c r="B491" s="7" t="s">
        <v>1071</v>
      </c>
      <c r="C491" s="5" t="s">
        <v>12</v>
      </c>
      <c r="D491" s="4" t="s">
        <v>20</v>
      </c>
      <c r="E491" s="5" t="s">
        <v>24</v>
      </c>
      <c r="F491" s="4" t="s">
        <v>853</v>
      </c>
      <c r="G491" s="9" t="s">
        <v>51</v>
      </c>
      <c r="H491" s="32">
        <v>45634</v>
      </c>
      <c r="I491" s="33">
        <v>45299</v>
      </c>
      <c r="J491" s="4" t="s">
        <v>101</v>
      </c>
      <c r="K491" s="6">
        <v>45299</v>
      </c>
      <c r="L491" s="56" t="s">
        <v>2016</v>
      </c>
      <c r="M491" s="56" t="s">
        <v>2016</v>
      </c>
      <c r="N491" s="4" t="s">
        <v>73</v>
      </c>
      <c r="O491" s="6">
        <v>45160</v>
      </c>
      <c r="P491" s="11">
        <v>45325</v>
      </c>
      <c r="Q491" s="9">
        <f ca="1">IF(P491="",TODAY()-O491,P491-O491)</f>
        <v>165</v>
      </c>
      <c r="R491" s="4" t="s">
        <v>41</v>
      </c>
      <c r="S491" s="5" t="s">
        <v>121</v>
      </c>
      <c r="T491" s="4" t="s">
        <v>38</v>
      </c>
      <c r="U491" s="5" t="s">
        <v>31</v>
      </c>
      <c r="W491" s="5" t="s">
        <v>112</v>
      </c>
      <c r="X491" s="38" t="s">
        <v>1913</v>
      </c>
      <c r="Y491" s="44">
        <v>45299</v>
      </c>
      <c r="Z491" s="7" t="s">
        <v>1901</v>
      </c>
    </row>
    <row r="492" spans="1:26" x14ac:dyDescent="0.25">
      <c r="A492" s="7" t="s">
        <v>893</v>
      </c>
      <c r="B492" s="7" t="s">
        <v>1071</v>
      </c>
      <c r="C492" s="5" t="s">
        <v>12</v>
      </c>
      <c r="D492" s="4" t="s">
        <v>20</v>
      </c>
      <c r="E492" s="5" t="s">
        <v>24</v>
      </c>
      <c r="F492" s="4" t="s">
        <v>853</v>
      </c>
      <c r="G492" s="9" t="s">
        <v>51</v>
      </c>
      <c r="H492" s="32">
        <v>45268</v>
      </c>
      <c r="I492" s="33">
        <v>45299</v>
      </c>
      <c r="J492" s="4" t="s">
        <v>101</v>
      </c>
      <c r="K492" s="6">
        <v>45299</v>
      </c>
      <c r="L492" s="56" t="s">
        <v>2016</v>
      </c>
      <c r="M492" s="56" t="s">
        <v>2016</v>
      </c>
      <c r="N492" s="4" t="s">
        <v>73</v>
      </c>
      <c r="O492" s="6">
        <v>45160</v>
      </c>
      <c r="P492" s="11">
        <v>45325</v>
      </c>
      <c r="Q492" s="9">
        <f ca="1">IF(P492="",TODAY()-O492,P492-O492)</f>
        <v>165</v>
      </c>
      <c r="R492" s="4" t="s">
        <v>41</v>
      </c>
      <c r="S492" s="5" t="s">
        <v>121</v>
      </c>
      <c r="T492" s="4" t="s">
        <v>38</v>
      </c>
      <c r="U492" s="5" t="s">
        <v>31</v>
      </c>
      <c r="W492" s="5" t="s">
        <v>112</v>
      </c>
      <c r="X492" s="38" t="s">
        <v>1914</v>
      </c>
      <c r="Y492" s="44">
        <v>45299</v>
      </c>
      <c r="Z492" s="7" t="s">
        <v>1902</v>
      </c>
    </row>
    <row r="493" spans="1:26" ht="14.25" customHeight="1" x14ac:dyDescent="0.25">
      <c r="A493" s="7" t="s">
        <v>1463</v>
      </c>
      <c r="B493" s="7" t="s">
        <v>1071</v>
      </c>
      <c r="C493" s="5" t="s">
        <v>12</v>
      </c>
      <c r="D493" s="4" t="s">
        <v>17</v>
      </c>
      <c r="E493" s="5" t="s">
        <v>22</v>
      </c>
      <c r="F493" s="4" t="s">
        <v>853</v>
      </c>
      <c r="H493" s="32"/>
      <c r="N493" s="4" t="s">
        <v>73</v>
      </c>
      <c r="O493" s="6">
        <v>45160</v>
      </c>
      <c r="P493" s="11">
        <v>45178</v>
      </c>
      <c r="Q493" s="9">
        <f ca="1">IF(P493="",TODAY()-O493,P493-O493)</f>
        <v>18</v>
      </c>
      <c r="R493" s="4" t="s">
        <v>43</v>
      </c>
      <c r="S493" s="5" t="s">
        <v>121</v>
      </c>
      <c r="T493" s="4" t="s">
        <v>112</v>
      </c>
      <c r="U493" s="5" t="s">
        <v>33</v>
      </c>
      <c r="W493" s="5" t="s">
        <v>112</v>
      </c>
      <c r="Z493" s="7" t="s">
        <v>1467</v>
      </c>
    </row>
    <row r="494" spans="1:26" ht="14.25" customHeight="1" x14ac:dyDescent="0.25">
      <c r="A494" s="7" t="s">
        <v>1464</v>
      </c>
      <c r="B494" s="7" t="s">
        <v>1071</v>
      </c>
      <c r="C494" s="5" t="s">
        <v>12</v>
      </c>
      <c r="D494" s="4" t="s">
        <v>17</v>
      </c>
      <c r="F494" s="4" t="s">
        <v>853</v>
      </c>
      <c r="N494" s="4" t="s">
        <v>73</v>
      </c>
      <c r="O494" s="6">
        <v>45160</v>
      </c>
      <c r="P494" s="11"/>
      <c r="Q494" s="9">
        <f ca="1">IF(P494="",TODAY()-O494,P494-O494)</f>
        <v>409</v>
      </c>
      <c r="S494" s="5" t="s">
        <v>121</v>
      </c>
      <c r="T494" s="4" t="s">
        <v>112</v>
      </c>
      <c r="U494" s="5" t="s">
        <v>33</v>
      </c>
      <c r="W494" s="5" t="s">
        <v>112</v>
      </c>
      <c r="Z494" s="7" t="s">
        <v>1467</v>
      </c>
    </row>
    <row r="495" spans="1:26" ht="14.25" customHeight="1" x14ac:dyDescent="0.25">
      <c r="A495" s="7" t="s">
        <v>1465</v>
      </c>
      <c r="B495" s="7" t="s">
        <v>1071</v>
      </c>
      <c r="C495" s="5" t="s">
        <v>12</v>
      </c>
      <c r="D495" s="4" t="s">
        <v>17</v>
      </c>
      <c r="F495" s="4" t="s">
        <v>853</v>
      </c>
      <c r="N495" s="4" t="s">
        <v>73</v>
      </c>
      <c r="O495" s="6">
        <v>45160</v>
      </c>
      <c r="P495" s="11"/>
      <c r="Q495" s="9">
        <f ca="1">IF(P495="",TODAY()-O495,P495-O495)</f>
        <v>409</v>
      </c>
      <c r="S495" s="5" t="s">
        <v>121</v>
      </c>
      <c r="T495" s="4" t="s">
        <v>112</v>
      </c>
      <c r="U495" s="5" t="s">
        <v>33</v>
      </c>
      <c r="W495" s="5" t="s">
        <v>112</v>
      </c>
      <c r="Z495" s="7" t="s">
        <v>1467</v>
      </c>
    </row>
    <row r="496" spans="1:26" ht="14.25" customHeight="1" x14ac:dyDescent="0.25">
      <c r="A496" s="7" t="s">
        <v>1466</v>
      </c>
      <c r="B496" s="7" t="s">
        <v>1071</v>
      </c>
      <c r="C496" s="5" t="s">
        <v>12</v>
      </c>
      <c r="D496" s="4" t="s">
        <v>17</v>
      </c>
      <c r="F496" s="4" t="s">
        <v>853</v>
      </c>
      <c r="O496" s="6">
        <v>45160</v>
      </c>
      <c r="P496" s="11"/>
      <c r="Q496" s="9">
        <f ca="1">IF(P496="",TODAY()-O496,P496-O496)</f>
        <v>409</v>
      </c>
      <c r="S496" s="5" t="s">
        <v>121</v>
      </c>
      <c r="T496" s="4" t="s">
        <v>112</v>
      </c>
      <c r="Z496" s="7" t="s">
        <v>1467</v>
      </c>
    </row>
    <row r="497" spans="1:26" ht="14.25" customHeight="1" x14ac:dyDescent="0.25">
      <c r="A497" s="7" t="s">
        <v>1458</v>
      </c>
      <c r="B497" s="7" t="s">
        <v>1071</v>
      </c>
      <c r="C497" s="5" t="s">
        <v>12</v>
      </c>
      <c r="D497" s="4" t="s">
        <v>17</v>
      </c>
      <c r="E497" s="5" t="s">
        <v>24</v>
      </c>
      <c r="F497" s="4" t="s">
        <v>384</v>
      </c>
      <c r="K497" s="6">
        <v>45162</v>
      </c>
      <c r="L497" s="56"/>
      <c r="M497" s="56"/>
      <c r="N497" s="4" t="s">
        <v>73</v>
      </c>
      <c r="O497" s="6">
        <v>45161</v>
      </c>
      <c r="P497" s="11">
        <v>45163</v>
      </c>
      <c r="Q497" s="9">
        <f ca="1">IF(P497="",TODAY()-O497,P497-O497)</f>
        <v>2</v>
      </c>
      <c r="R497" s="4" t="s">
        <v>896</v>
      </c>
      <c r="S497" s="5" t="s">
        <v>631</v>
      </c>
      <c r="U497" s="5" t="s">
        <v>30</v>
      </c>
      <c r="W497" s="5" t="s">
        <v>1460</v>
      </c>
      <c r="Z497" s="7" t="s">
        <v>1459</v>
      </c>
    </row>
    <row r="498" spans="1:26" ht="14.25" customHeight="1" x14ac:dyDescent="0.25">
      <c r="A498" s="7" t="s">
        <v>1461</v>
      </c>
      <c r="B498" s="7" t="s">
        <v>1071</v>
      </c>
      <c r="C498" s="5" t="s">
        <v>12</v>
      </c>
      <c r="E498" s="5" t="s">
        <v>25</v>
      </c>
      <c r="F498" s="4" t="s">
        <v>384</v>
      </c>
      <c r="K498" s="6"/>
      <c r="L498" s="56"/>
      <c r="M498" s="56"/>
      <c r="N498" s="4" t="s">
        <v>73</v>
      </c>
      <c r="O498" s="6">
        <v>45162</v>
      </c>
      <c r="P498" s="11">
        <v>45163</v>
      </c>
      <c r="Q498" s="9">
        <f ca="1">IF(P498="",TODAY()-O498,P498-O498)</f>
        <v>1</v>
      </c>
      <c r="R498" s="4" t="s">
        <v>896</v>
      </c>
      <c r="S498" s="5" t="s">
        <v>631</v>
      </c>
      <c r="U498" s="5" t="s">
        <v>33</v>
      </c>
      <c r="W498" s="5" t="s">
        <v>112</v>
      </c>
      <c r="Z498" s="7" t="s">
        <v>1478</v>
      </c>
    </row>
    <row r="499" spans="1:26" ht="14.25" customHeight="1" x14ac:dyDescent="0.25">
      <c r="A499" s="7" t="s">
        <v>1854</v>
      </c>
      <c r="B499" s="7" t="s">
        <v>1071</v>
      </c>
      <c r="C499" s="5" t="s">
        <v>12</v>
      </c>
      <c r="D499" s="4" t="s">
        <v>311</v>
      </c>
      <c r="E499" s="5" t="s">
        <v>25</v>
      </c>
      <c r="F499" s="4" t="s">
        <v>384</v>
      </c>
      <c r="K499" s="6">
        <v>45163</v>
      </c>
      <c r="L499" s="56"/>
      <c r="M499" s="56"/>
      <c r="N499" s="4" t="s">
        <v>73</v>
      </c>
      <c r="O499" s="6">
        <v>45162</v>
      </c>
      <c r="P499" s="11">
        <v>45168</v>
      </c>
      <c r="Q499" s="9">
        <f ca="1">IF(P499="",TODAY()-O499,P499-O499)</f>
        <v>6</v>
      </c>
      <c r="R499" s="4" t="s">
        <v>896</v>
      </c>
      <c r="S499" s="5" t="s">
        <v>631</v>
      </c>
      <c r="T499" s="4" t="s">
        <v>112</v>
      </c>
      <c r="U499" s="5" t="s">
        <v>33</v>
      </c>
      <c r="W499" s="5" t="s">
        <v>112</v>
      </c>
      <c r="Z499" s="7" t="s">
        <v>1863</v>
      </c>
    </row>
    <row r="500" spans="1:26" x14ac:dyDescent="0.25">
      <c r="A500" s="7" t="s">
        <v>1855</v>
      </c>
      <c r="B500" s="7" t="s">
        <v>1071</v>
      </c>
      <c r="C500" s="5" t="s">
        <v>12</v>
      </c>
      <c r="D500" s="4" t="s">
        <v>311</v>
      </c>
      <c r="E500" s="5" t="s">
        <v>23</v>
      </c>
      <c r="F500" s="4" t="s">
        <v>1864</v>
      </c>
      <c r="K500" s="6"/>
      <c r="L500" s="56"/>
      <c r="M500" s="56"/>
      <c r="N500" s="4" t="s">
        <v>73</v>
      </c>
      <c r="O500" s="6">
        <v>45162</v>
      </c>
      <c r="P500" s="11">
        <v>45175</v>
      </c>
      <c r="Q500" s="9">
        <f ca="1">IF(P500="",TODAY()-O500,P500-O500)</f>
        <v>13</v>
      </c>
      <c r="R500" s="4" t="s">
        <v>43</v>
      </c>
      <c r="S500" s="5" t="s">
        <v>631</v>
      </c>
      <c r="T500" s="4" t="s">
        <v>112</v>
      </c>
      <c r="U500" s="5" t="s">
        <v>30</v>
      </c>
      <c r="W500" s="5" t="s">
        <v>112</v>
      </c>
      <c r="Z500" s="7" t="s">
        <v>1862</v>
      </c>
    </row>
    <row r="501" spans="1:26" x14ac:dyDescent="0.25">
      <c r="A501" s="7" t="s">
        <v>1856</v>
      </c>
      <c r="B501" s="7" t="s">
        <v>1071</v>
      </c>
      <c r="C501" s="5" t="s">
        <v>12</v>
      </c>
      <c r="D501" s="4" t="s">
        <v>311</v>
      </c>
      <c r="E501" s="5" t="s">
        <v>23</v>
      </c>
      <c r="F501" s="4" t="s">
        <v>1864</v>
      </c>
      <c r="G501" s="9" t="s">
        <v>51</v>
      </c>
      <c r="H501" s="32">
        <v>45189</v>
      </c>
      <c r="I501" s="33">
        <v>45233</v>
      </c>
      <c r="J501" s="4" t="s">
        <v>503</v>
      </c>
      <c r="K501" s="6"/>
      <c r="L501" s="56"/>
      <c r="M501" s="56"/>
      <c r="N501" s="4" t="s">
        <v>73</v>
      </c>
      <c r="O501" s="6">
        <v>45162</v>
      </c>
      <c r="P501" s="11">
        <v>45273</v>
      </c>
      <c r="Q501" s="9">
        <f ca="1">IF(P501="",TODAY()-O501,P501-O501)</f>
        <v>111</v>
      </c>
      <c r="R501" s="4" t="s">
        <v>41</v>
      </c>
      <c r="S501" s="5" t="s">
        <v>631</v>
      </c>
      <c r="T501" s="4" t="s">
        <v>112</v>
      </c>
      <c r="U501" s="5" t="s">
        <v>30</v>
      </c>
      <c r="W501" s="5" t="s">
        <v>112</v>
      </c>
      <c r="X501" s="38" t="s">
        <v>1942</v>
      </c>
      <c r="Y501" s="44">
        <v>45189</v>
      </c>
      <c r="Z501" s="7" t="s">
        <v>1943</v>
      </c>
    </row>
    <row r="502" spans="1:26" x14ac:dyDescent="0.25">
      <c r="A502" s="7" t="s">
        <v>1857</v>
      </c>
      <c r="B502" s="7" t="s">
        <v>1071</v>
      </c>
      <c r="C502" s="5" t="s">
        <v>12</v>
      </c>
      <c r="D502" s="4" t="s">
        <v>311</v>
      </c>
      <c r="E502" s="5" t="s">
        <v>23</v>
      </c>
      <c r="F502" s="4" t="s">
        <v>1864</v>
      </c>
      <c r="G502" s="9" t="s">
        <v>51</v>
      </c>
      <c r="H502" s="32">
        <v>45189</v>
      </c>
      <c r="I502" s="33">
        <v>45233</v>
      </c>
      <c r="J502" s="4" t="s">
        <v>503</v>
      </c>
      <c r="K502" s="6"/>
      <c r="L502" s="56"/>
      <c r="M502" s="56"/>
      <c r="N502" s="4" t="s">
        <v>73</v>
      </c>
      <c r="O502" s="6">
        <v>45162</v>
      </c>
      <c r="P502" s="11">
        <v>45273</v>
      </c>
      <c r="Q502" s="9">
        <f ca="1">IF(P502="",TODAY()-O502,P502-O502)</f>
        <v>111</v>
      </c>
      <c r="R502" s="4" t="s">
        <v>41</v>
      </c>
      <c r="S502" s="5" t="s">
        <v>631</v>
      </c>
      <c r="T502" s="4" t="s">
        <v>112</v>
      </c>
      <c r="U502" s="5" t="s">
        <v>30</v>
      </c>
      <c r="W502" s="5" t="s">
        <v>112</v>
      </c>
      <c r="X502" s="38" t="s">
        <v>1941</v>
      </c>
      <c r="Y502" s="44">
        <v>45189</v>
      </c>
      <c r="Z502" s="7" t="s">
        <v>1943</v>
      </c>
    </row>
    <row r="503" spans="1:26" x14ac:dyDescent="0.25">
      <c r="A503" s="7" t="s">
        <v>1858</v>
      </c>
      <c r="B503" s="7" t="s">
        <v>1071</v>
      </c>
      <c r="C503" s="5" t="s">
        <v>12</v>
      </c>
      <c r="D503" s="4" t="s">
        <v>20</v>
      </c>
      <c r="E503" s="5" t="s">
        <v>24</v>
      </c>
      <c r="F503" s="4" t="s">
        <v>1864</v>
      </c>
      <c r="K503" s="6">
        <v>45336</v>
      </c>
      <c r="L503" s="56" t="s">
        <v>2016</v>
      </c>
      <c r="M503" s="56" t="s">
        <v>2016</v>
      </c>
      <c r="N503" s="4" t="s">
        <v>73</v>
      </c>
      <c r="O503" s="6">
        <v>45162</v>
      </c>
      <c r="Q503" s="9">
        <f ca="1">IF(P503="",TODAY()-O503,P503-O503)</f>
        <v>407</v>
      </c>
      <c r="S503" s="5" t="s">
        <v>631</v>
      </c>
      <c r="T503" s="4" t="s">
        <v>112</v>
      </c>
      <c r="U503" s="5" t="s">
        <v>30</v>
      </c>
      <c r="W503" s="5" t="s">
        <v>112</v>
      </c>
      <c r="Y503" s="44"/>
      <c r="Z503" s="7" t="s">
        <v>2568</v>
      </c>
    </row>
    <row r="504" spans="1:26" x14ac:dyDescent="0.25">
      <c r="A504" s="7" t="s">
        <v>1859</v>
      </c>
      <c r="B504" s="7" t="s">
        <v>1071</v>
      </c>
      <c r="C504" s="5" t="s">
        <v>12</v>
      </c>
      <c r="D504" s="4" t="s">
        <v>20</v>
      </c>
      <c r="F504" s="4" t="s">
        <v>1864</v>
      </c>
      <c r="K504" s="6"/>
      <c r="L504" s="56"/>
      <c r="M504" s="56"/>
      <c r="N504" s="4" t="s">
        <v>73</v>
      </c>
      <c r="O504" s="6">
        <v>45162</v>
      </c>
      <c r="Q504" s="9">
        <f ca="1">IF(P504="",TODAY()-O504,P504-O504)</f>
        <v>407</v>
      </c>
      <c r="S504" s="5" t="s">
        <v>631</v>
      </c>
      <c r="T504" s="4" t="s">
        <v>112</v>
      </c>
      <c r="U504" s="5" t="s">
        <v>30</v>
      </c>
      <c r="W504" s="5" t="s">
        <v>112</v>
      </c>
      <c r="Z504" s="7" t="s">
        <v>1944</v>
      </c>
    </row>
    <row r="505" spans="1:26" ht="15.75" customHeight="1" x14ac:dyDescent="0.25">
      <c r="A505" s="7" t="s">
        <v>1860</v>
      </c>
      <c r="B505" s="7" t="s">
        <v>1071</v>
      </c>
      <c r="C505" s="5" t="s">
        <v>12</v>
      </c>
      <c r="D505" s="4" t="s">
        <v>16</v>
      </c>
      <c r="E505" s="5" t="s">
        <v>22</v>
      </c>
      <c r="F505" s="4" t="s">
        <v>1864</v>
      </c>
      <c r="K505" s="6"/>
      <c r="L505" s="56"/>
      <c r="M505" s="56"/>
      <c r="N505" s="4" t="s">
        <v>73</v>
      </c>
      <c r="O505" s="6">
        <v>45162</v>
      </c>
      <c r="P505" s="11">
        <v>45171</v>
      </c>
      <c r="Q505" s="9">
        <f ca="1">IF(P505="",TODAY()-O505,P505-O505)</f>
        <v>9</v>
      </c>
      <c r="R505" s="4" t="s">
        <v>43</v>
      </c>
      <c r="S505" s="5" t="s">
        <v>631</v>
      </c>
      <c r="T505" s="4" t="s">
        <v>112</v>
      </c>
      <c r="U505" s="5" t="s">
        <v>30</v>
      </c>
      <c r="W505" s="5" t="s">
        <v>112</v>
      </c>
      <c r="Z505" s="7" t="s">
        <v>1945</v>
      </c>
    </row>
    <row r="506" spans="1:26" ht="15.75" customHeight="1" x14ac:dyDescent="0.25">
      <c r="A506" s="7" t="s">
        <v>1861</v>
      </c>
      <c r="B506" s="7" t="s">
        <v>1071</v>
      </c>
      <c r="C506" s="5" t="s">
        <v>12</v>
      </c>
      <c r="D506" s="4" t="s">
        <v>17</v>
      </c>
      <c r="E506" s="5" t="s">
        <v>2227</v>
      </c>
      <c r="F506" s="4" t="s">
        <v>1864</v>
      </c>
      <c r="K506" s="6"/>
      <c r="L506" s="56" t="s">
        <v>2016</v>
      </c>
      <c r="M506" s="56" t="s">
        <v>2017</v>
      </c>
      <c r="N506" s="4" t="s">
        <v>73</v>
      </c>
      <c r="O506" s="6">
        <v>45162</v>
      </c>
      <c r="P506" s="11">
        <v>45329</v>
      </c>
      <c r="Q506" s="9">
        <f ca="1">IF(P506="",TODAY()-O506,P506-O506)</f>
        <v>167</v>
      </c>
      <c r="R506" s="4" t="s">
        <v>42</v>
      </c>
      <c r="S506" s="5" t="s">
        <v>631</v>
      </c>
      <c r="T506" s="4" t="s">
        <v>112</v>
      </c>
      <c r="U506" s="5" t="s">
        <v>30</v>
      </c>
      <c r="W506" s="5" t="s">
        <v>112</v>
      </c>
      <c r="Z506" s="7" t="s">
        <v>1944</v>
      </c>
    </row>
    <row r="507" spans="1:26" ht="15.75" customHeight="1" x14ac:dyDescent="0.25">
      <c r="A507" s="7" t="s">
        <v>1481</v>
      </c>
      <c r="B507" s="7" t="s">
        <v>1071</v>
      </c>
      <c r="C507" s="5" t="s">
        <v>12</v>
      </c>
      <c r="D507" s="4" t="s">
        <v>15</v>
      </c>
      <c r="E507" s="5" t="s">
        <v>23</v>
      </c>
      <c r="F507" s="4" t="s">
        <v>1483</v>
      </c>
      <c r="N507" s="4" t="s">
        <v>73</v>
      </c>
      <c r="O507" s="6">
        <v>45165</v>
      </c>
      <c r="P507" s="11">
        <v>45165</v>
      </c>
      <c r="Q507" s="9">
        <f ca="1">IF(P507="",TODAY()-O507,P507-O507)</f>
        <v>0</v>
      </c>
      <c r="R507" s="4" t="s">
        <v>43</v>
      </c>
      <c r="S507" s="5" t="s">
        <v>122</v>
      </c>
      <c r="T507" s="4" t="s">
        <v>38</v>
      </c>
      <c r="Z507" s="7" t="s">
        <v>1946</v>
      </c>
    </row>
    <row r="508" spans="1:26" ht="15.75" customHeight="1" x14ac:dyDescent="0.25">
      <c r="A508" s="7" t="s">
        <v>1482</v>
      </c>
      <c r="B508" s="7" t="s">
        <v>1071</v>
      </c>
      <c r="C508" s="5" t="s">
        <v>12</v>
      </c>
      <c r="D508" s="4" t="s">
        <v>14</v>
      </c>
      <c r="F508" s="4" t="s">
        <v>1483</v>
      </c>
      <c r="N508" s="4" t="s">
        <v>73</v>
      </c>
      <c r="O508" s="6">
        <v>45165</v>
      </c>
      <c r="P508" s="11">
        <v>45166</v>
      </c>
      <c r="Q508" s="9">
        <f ca="1">IF(P508="",TODAY()-O508,P508-O508)</f>
        <v>1</v>
      </c>
      <c r="R508" s="4" t="s">
        <v>43</v>
      </c>
      <c r="S508" s="5" t="s">
        <v>122</v>
      </c>
      <c r="T508" s="4" t="s">
        <v>38</v>
      </c>
      <c r="Z508" s="7" t="s">
        <v>1947</v>
      </c>
    </row>
    <row r="509" spans="1:26" ht="15.75" customHeight="1" x14ac:dyDescent="0.25">
      <c r="A509" s="7" t="s">
        <v>1524</v>
      </c>
      <c r="B509" s="7" t="s">
        <v>1071</v>
      </c>
      <c r="C509" s="5" t="s">
        <v>12</v>
      </c>
      <c r="D509" s="4" t="s">
        <v>1487</v>
      </c>
      <c r="E509" s="5" t="s">
        <v>25</v>
      </c>
      <c r="F509" s="4" t="s">
        <v>384</v>
      </c>
      <c r="K509" s="6">
        <v>45167</v>
      </c>
      <c r="L509" s="56"/>
      <c r="M509" s="56"/>
      <c r="N509" s="4" t="s">
        <v>73</v>
      </c>
      <c r="O509" s="6">
        <v>45166</v>
      </c>
      <c r="Q509" s="9">
        <f ca="1">IF(P509="",TODAY()-O509,P509-O509)</f>
        <v>403</v>
      </c>
      <c r="S509" s="5" t="s">
        <v>631</v>
      </c>
      <c r="T509" s="4" t="s">
        <v>38</v>
      </c>
      <c r="U509" s="5" t="s">
        <v>30</v>
      </c>
      <c r="W509" s="5" t="s">
        <v>38</v>
      </c>
      <c r="Z509" s="7" t="s">
        <v>1496</v>
      </c>
    </row>
    <row r="510" spans="1:26" x14ac:dyDescent="0.25">
      <c r="A510" s="7" t="s">
        <v>1490</v>
      </c>
      <c r="B510" s="7" t="s">
        <v>1071</v>
      </c>
      <c r="C510" s="5" t="s">
        <v>1489</v>
      </c>
      <c r="D510" s="4" t="s">
        <v>713</v>
      </c>
      <c r="E510" s="5" t="s">
        <v>25</v>
      </c>
      <c r="F510" s="4" t="s">
        <v>675</v>
      </c>
      <c r="N510" s="4" t="s">
        <v>73</v>
      </c>
      <c r="O510" s="6">
        <v>45167</v>
      </c>
      <c r="Q510" s="9">
        <f ca="1">IF(P510="",TODAY()-O510,P510-O510)</f>
        <v>402</v>
      </c>
      <c r="S510" s="5" t="s">
        <v>27</v>
      </c>
      <c r="T510" s="4" t="s">
        <v>112</v>
      </c>
      <c r="W510" s="5" t="s">
        <v>39</v>
      </c>
      <c r="Z510" s="7" t="s">
        <v>1944</v>
      </c>
    </row>
    <row r="511" spans="1:26" x14ac:dyDescent="0.25">
      <c r="A511" s="7" t="s">
        <v>1536</v>
      </c>
      <c r="B511" s="7" t="s">
        <v>1071</v>
      </c>
      <c r="C511" s="5" t="s">
        <v>12</v>
      </c>
      <c r="E511" s="5" t="s">
        <v>25</v>
      </c>
      <c r="F511" s="4" t="s">
        <v>591</v>
      </c>
      <c r="K511" s="6">
        <v>45168</v>
      </c>
      <c r="L511" s="56"/>
      <c r="M511" s="56"/>
      <c r="N511" s="4" t="s">
        <v>9</v>
      </c>
      <c r="O511" s="6">
        <v>45167</v>
      </c>
      <c r="P511" s="11">
        <v>45168</v>
      </c>
      <c r="Q511" s="9">
        <f ca="1">IF(P511="",TODAY()-O511,P511-O511)</f>
        <v>1</v>
      </c>
      <c r="R511" s="4" t="s">
        <v>896</v>
      </c>
      <c r="S511" s="5" t="s">
        <v>26</v>
      </c>
      <c r="U511" s="5" t="s">
        <v>30</v>
      </c>
      <c r="W511" s="5" t="s">
        <v>38</v>
      </c>
      <c r="Z511" s="7" t="s">
        <v>1948</v>
      </c>
    </row>
    <row r="512" spans="1:26" x14ac:dyDescent="0.25">
      <c r="A512" s="7" t="s">
        <v>1529</v>
      </c>
      <c r="B512" s="7" t="s">
        <v>1071</v>
      </c>
      <c r="C512" s="5" t="s">
        <v>12</v>
      </c>
      <c r="D512" s="4" t="s">
        <v>16</v>
      </c>
      <c r="E512" s="5" t="s">
        <v>23</v>
      </c>
      <c r="F512" s="4" t="s">
        <v>591</v>
      </c>
      <c r="N512" s="4" t="s">
        <v>73</v>
      </c>
      <c r="O512" s="6">
        <v>45169</v>
      </c>
      <c r="P512" s="11">
        <v>45178</v>
      </c>
      <c r="Q512" s="9">
        <f ca="1">IF(P512="",TODAY()-O512,P512-O512)</f>
        <v>9</v>
      </c>
      <c r="R512" s="4" t="s">
        <v>42</v>
      </c>
      <c r="S512" s="5" t="s">
        <v>26</v>
      </c>
      <c r="T512" s="4" t="s">
        <v>112</v>
      </c>
      <c r="U512" s="5" t="s">
        <v>30</v>
      </c>
      <c r="Z512" s="7" t="s">
        <v>1949</v>
      </c>
    </row>
    <row r="513" spans="1:26" x14ac:dyDescent="0.25">
      <c r="A513" s="7" t="s">
        <v>1530</v>
      </c>
      <c r="B513" s="7" t="s">
        <v>1071</v>
      </c>
      <c r="C513" s="5" t="s">
        <v>12</v>
      </c>
      <c r="D513" s="4" t="s">
        <v>311</v>
      </c>
      <c r="E513" s="5" t="s">
        <v>23</v>
      </c>
      <c r="F513" s="4" t="s">
        <v>1533</v>
      </c>
      <c r="N513" s="4" t="s">
        <v>73</v>
      </c>
      <c r="O513" s="6">
        <v>45169</v>
      </c>
      <c r="P513" s="11">
        <v>45177</v>
      </c>
      <c r="Q513" s="9">
        <f ca="1">IF(P513="",TODAY()-O513,P513-O513)</f>
        <v>8</v>
      </c>
      <c r="R513" s="4" t="s">
        <v>43</v>
      </c>
      <c r="S513" s="5" t="s">
        <v>26</v>
      </c>
      <c r="T513" s="4" t="s">
        <v>112</v>
      </c>
      <c r="U513" s="5" t="s">
        <v>30</v>
      </c>
      <c r="Z513" s="7" t="s">
        <v>1950</v>
      </c>
    </row>
    <row r="514" spans="1:26" x14ac:dyDescent="0.25">
      <c r="A514" s="7" t="s">
        <v>1510</v>
      </c>
      <c r="B514" s="7" t="s">
        <v>1071</v>
      </c>
      <c r="C514" s="5" t="s">
        <v>12</v>
      </c>
      <c r="D514" s="4" t="s">
        <v>311</v>
      </c>
      <c r="E514" s="5" t="s">
        <v>23</v>
      </c>
      <c r="F514" s="4" t="s">
        <v>902</v>
      </c>
      <c r="N514" s="4" t="s">
        <v>73</v>
      </c>
      <c r="O514" s="6">
        <v>45171</v>
      </c>
      <c r="P514" s="11">
        <v>45188</v>
      </c>
      <c r="Q514" s="9">
        <f ca="1">IF(P514="",TODAY()-O514,P514-O514)</f>
        <v>17</v>
      </c>
      <c r="R514" s="4" t="s">
        <v>43</v>
      </c>
      <c r="S514" s="5" t="s">
        <v>26</v>
      </c>
      <c r="T514" s="4" t="s">
        <v>38</v>
      </c>
      <c r="U514" s="5" t="s">
        <v>29</v>
      </c>
      <c r="V514" s="4">
        <v>980</v>
      </c>
      <c r="W514" s="5" t="s">
        <v>39</v>
      </c>
      <c r="Z514" s="7" t="s">
        <v>1514</v>
      </c>
    </row>
    <row r="515" spans="1:26" x14ac:dyDescent="0.25">
      <c r="A515" s="7" t="s">
        <v>1511</v>
      </c>
      <c r="B515" s="7" t="s">
        <v>1071</v>
      </c>
      <c r="C515" s="5" t="s">
        <v>12</v>
      </c>
      <c r="D515" s="4" t="s">
        <v>16</v>
      </c>
      <c r="E515" s="5" t="s">
        <v>23</v>
      </c>
      <c r="F515" s="4" t="s">
        <v>902</v>
      </c>
      <c r="G515" s="9" t="s">
        <v>51</v>
      </c>
      <c r="H515" s="32">
        <v>45268</v>
      </c>
      <c r="I515" s="33">
        <v>45296</v>
      </c>
      <c r="J515" s="4" t="s">
        <v>102</v>
      </c>
      <c r="N515" s="4" t="s">
        <v>73</v>
      </c>
      <c r="O515" s="6">
        <v>45171</v>
      </c>
      <c r="P515" s="11">
        <v>45304</v>
      </c>
      <c r="Q515" s="9">
        <f ca="1">IF(P515="",TODAY()-O515,P515-O515)</f>
        <v>133</v>
      </c>
      <c r="R515" s="4" t="s">
        <v>41</v>
      </c>
      <c r="S515" s="5" t="s">
        <v>26</v>
      </c>
      <c r="T515" s="4" t="s">
        <v>38</v>
      </c>
      <c r="U515" s="5" t="s">
        <v>29</v>
      </c>
      <c r="V515" s="4">
        <v>981</v>
      </c>
      <c r="W515" s="5" t="s">
        <v>39</v>
      </c>
      <c r="X515" s="38" t="s">
        <v>1962</v>
      </c>
      <c r="Y515" s="44">
        <v>45296</v>
      </c>
      <c r="Z515" s="7" t="s">
        <v>1899</v>
      </c>
    </row>
    <row r="516" spans="1:26" x14ac:dyDescent="0.25">
      <c r="A516" s="7" t="s">
        <v>1512</v>
      </c>
      <c r="B516" s="7" t="s">
        <v>1071</v>
      </c>
      <c r="C516" s="5" t="s">
        <v>12</v>
      </c>
      <c r="D516" s="4" t="s">
        <v>20</v>
      </c>
      <c r="E516" s="5" t="s">
        <v>22</v>
      </c>
      <c r="F516" s="4" t="s">
        <v>902</v>
      </c>
      <c r="N516" s="4" t="s">
        <v>9</v>
      </c>
      <c r="O516" s="6">
        <v>45171</v>
      </c>
      <c r="P516" s="11">
        <v>45188</v>
      </c>
      <c r="Q516" s="9">
        <f ca="1">IF(P516="",TODAY()-O516,P516-O516)</f>
        <v>17</v>
      </c>
      <c r="R516" s="4" t="s">
        <v>43</v>
      </c>
      <c r="S516" s="5" t="s">
        <v>26</v>
      </c>
      <c r="T516" s="4" t="s">
        <v>38</v>
      </c>
      <c r="U516" s="5" t="s">
        <v>29</v>
      </c>
      <c r="V516" s="4">
        <v>982</v>
      </c>
      <c r="W516" s="5" t="s">
        <v>38</v>
      </c>
      <c r="Z516" s="7" t="s">
        <v>1515</v>
      </c>
    </row>
    <row r="517" spans="1:26" x14ac:dyDescent="0.25">
      <c r="A517" s="7" t="s">
        <v>1513</v>
      </c>
      <c r="B517" s="7" t="s">
        <v>1071</v>
      </c>
      <c r="C517" s="5" t="s">
        <v>12</v>
      </c>
      <c r="D517" s="4" t="s">
        <v>311</v>
      </c>
      <c r="E517" s="5" t="s">
        <v>23</v>
      </c>
      <c r="F517" s="4" t="s">
        <v>902</v>
      </c>
      <c r="N517" s="4" t="s">
        <v>73</v>
      </c>
      <c r="O517" s="6">
        <v>45171</v>
      </c>
      <c r="P517" s="11">
        <v>45196</v>
      </c>
      <c r="Q517" s="9">
        <f ca="1">IF(P517="",TODAY()-O517,P517-O517)</f>
        <v>25</v>
      </c>
      <c r="R517" s="4" t="s">
        <v>43</v>
      </c>
      <c r="S517" s="5" t="s">
        <v>26</v>
      </c>
      <c r="T517" s="4" t="s">
        <v>38</v>
      </c>
      <c r="U517" s="5" t="s">
        <v>30</v>
      </c>
      <c r="V517" s="4">
        <v>983</v>
      </c>
      <c r="W517" s="5" t="s">
        <v>38</v>
      </c>
      <c r="Z517" s="7" t="s">
        <v>1953</v>
      </c>
    </row>
    <row r="518" spans="1:26" x14ac:dyDescent="0.25">
      <c r="A518" s="7" t="s">
        <v>1508</v>
      </c>
      <c r="B518" s="7" t="s">
        <v>1071</v>
      </c>
      <c r="C518" s="5" t="s">
        <v>12</v>
      </c>
      <c r="D518" s="4" t="s">
        <v>20</v>
      </c>
      <c r="F518" s="4" t="s">
        <v>1509</v>
      </c>
      <c r="N518" s="4" t="s">
        <v>73</v>
      </c>
      <c r="O518" s="6">
        <v>45171</v>
      </c>
      <c r="P518" s="11">
        <v>45180</v>
      </c>
      <c r="Q518" s="9">
        <f ca="1">IF(P518="",TODAY()-O518,P518-O518)</f>
        <v>9</v>
      </c>
      <c r="R518" s="4" t="s">
        <v>43</v>
      </c>
      <c r="S518" s="5" t="s">
        <v>26</v>
      </c>
      <c r="T518" s="4" t="s">
        <v>38</v>
      </c>
      <c r="Z518" s="7" t="s">
        <v>1534</v>
      </c>
    </row>
    <row r="519" spans="1:26" x14ac:dyDescent="0.25">
      <c r="A519" s="7" t="s">
        <v>1754</v>
      </c>
      <c r="B519" s="7" t="s">
        <v>1071</v>
      </c>
      <c r="C519" s="5" t="s">
        <v>12</v>
      </c>
      <c r="D519" s="4" t="s">
        <v>16</v>
      </c>
      <c r="E519" s="5" t="s">
        <v>25</v>
      </c>
      <c r="F519" s="4" t="s">
        <v>504</v>
      </c>
      <c r="G519" s="9" t="s">
        <v>51</v>
      </c>
      <c r="H519" s="32">
        <v>45175</v>
      </c>
      <c r="I519" s="33">
        <v>45196</v>
      </c>
      <c r="J519" s="4" t="s">
        <v>102</v>
      </c>
      <c r="K519" s="6">
        <v>45196</v>
      </c>
      <c r="L519" s="56"/>
      <c r="M519" s="56"/>
      <c r="N519" s="4" t="s">
        <v>73</v>
      </c>
      <c r="O519" s="6">
        <v>45172</v>
      </c>
      <c r="P519" s="11"/>
      <c r="Q519" s="9">
        <f ca="1">IF(P519="",TODAY()-O519,P519-O519)</f>
        <v>397</v>
      </c>
      <c r="S519" s="5" t="s">
        <v>26</v>
      </c>
      <c r="T519" s="4" t="s">
        <v>114</v>
      </c>
      <c r="U519" s="5" t="s">
        <v>33</v>
      </c>
      <c r="W519" s="5" t="s">
        <v>39</v>
      </c>
      <c r="Z519" s="7" t="s">
        <v>1755</v>
      </c>
    </row>
    <row r="520" spans="1:26" x14ac:dyDescent="0.25">
      <c r="A520" s="7" t="s">
        <v>1532</v>
      </c>
      <c r="B520" s="7" t="s">
        <v>1071</v>
      </c>
      <c r="C520" s="5" t="s">
        <v>12</v>
      </c>
      <c r="D520" s="4" t="s">
        <v>16</v>
      </c>
      <c r="F520" s="4" t="s">
        <v>1533</v>
      </c>
      <c r="N520" s="4" t="s">
        <v>73</v>
      </c>
      <c r="O520" s="6">
        <v>45173</v>
      </c>
      <c r="P520" s="11">
        <v>45180</v>
      </c>
      <c r="Q520" s="9">
        <f ca="1">IF(P520="",TODAY()-O520,P520-O520)</f>
        <v>7</v>
      </c>
      <c r="R520" s="4" t="s">
        <v>43</v>
      </c>
      <c r="S520" s="5" t="s">
        <v>26</v>
      </c>
      <c r="T520" s="4" t="s">
        <v>112</v>
      </c>
      <c r="U520" s="5" t="s">
        <v>30</v>
      </c>
      <c r="Z520" s="7" t="s">
        <v>1951</v>
      </c>
    </row>
    <row r="521" spans="1:26" x14ac:dyDescent="0.25">
      <c r="A521" s="7" t="s">
        <v>1531</v>
      </c>
      <c r="B521" s="7" t="s">
        <v>1071</v>
      </c>
      <c r="C521" s="5" t="s">
        <v>12</v>
      </c>
      <c r="D521" s="4" t="s">
        <v>16</v>
      </c>
      <c r="F521" s="4" t="s">
        <v>1533</v>
      </c>
      <c r="N521" s="4" t="s">
        <v>73</v>
      </c>
      <c r="O521" s="6">
        <v>45173</v>
      </c>
      <c r="P521" s="11">
        <v>45182</v>
      </c>
      <c r="Q521" s="9">
        <f ca="1">IF(P521="",TODAY()-O521,P521-O521)</f>
        <v>9</v>
      </c>
      <c r="R521" s="4" t="s">
        <v>43</v>
      </c>
      <c r="S521" s="5" t="s">
        <v>26</v>
      </c>
      <c r="T521" s="4" t="s">
        <v>112</v>
      </c>
      <c r="U521" s="5" t="s">
        <v>30</v>
      </c>
      <c r="Z521" s="7" t="s">
        <v>1952</v>
      </c>
    </row>
    <row r="522" spans="1:26" x14ac:dyDescent="0.25">
      <c r="A522" s="7" t="s">
        <v>1523</v>
      </c>
      <c r="B522" s="7" t="s">
        <v>1071</v>
      </c>
      <c r="C522" s="5" t="s">
        <v>12</v>
      </c>
      <c r="D522" s="4" t="s">
        <v>18</v>
      </c>
      <c r="E522" s="5" t="s">
        <v>22</v>
      </c>
      <c r="F522" s="4" t="s">
        <v>384</v>
      </c>
      <c r="N522" s="4" t="s">
        <v>9</v>
      </c>
      <c r="O522" s="6">
        <v>45173</v>
      </c>
      <c r="P522" s="11">
        <v>45174</v>
      </c>
      <c r="Q522" s="9">
        <f ca="1">IF(P522="",TODAY()-O522,P522-O522)</f>
        <v>1</v>
      </c>
      <c r="R522" s="4" t="s">
        <v>42</v>
      </c>
      <c r="S522" s="5" t="s">
        <v>631</v>
      </c>
      <c r="U522" s="5" t="s">
        <v>30</v>
      </c>
      <c r="W522" s="5" t="s">
        <v>38</v>
      </c>
      <c r="Z522" s="7" t="s">
        <v>1522</v>
      </c>
    </row>
    <row r="523" spans="1:26" x14ac:dyDescent="0.25">
      <c r="A523" s="7" t="s">
        <v>1519</v>
      </c>
      <c r="B523" s="7" t="s">
        <v>1071</v>
      </c>
      <c r="C523" s="5" t="s">
        <v>12</v>
      </c>
      <c r="D523" s="4" t="s">
        <v>311</v>
      </c>
      <c r="E523" s="5" t="s">
        <v>23</v>
      </c>
      <c r="F523" s="4" t="s">
        <v>902</v>
      </c>
      <c r="N523" s="4" t="s">
        <v>73</v>
      </c>
      <c r="O523" s="6">
        <v>45174</v>
      </c>
      <c r="Q523" s="9">
        <f ca="1">IF(P523="",TODAY()-O523,P523-O523)</f>
        <v>395</v>
      </c>
      <c r="S523" s="5" t="s">
        <v>121</v>
      </c>
      <c r="T523" s="4" t="s">
        <v>38</v>
      </c>
      <c r="U523" s="5" t="s">
        <v>29</v>
      </c>
      <c r="W523" s="5" t="s">
        <v>39</v>
      </c>
      <c r="Z523" s="7" t="s">
        <v>1521</v>
      </c>
    </row>
    <row r="524" spans="1:26" x14ac:dyDescent="0.25">
      <c r="A524" s="7" t="s">
        <v>1520</v>
      </c>
      <c r="B524" s="7" t="s">
        <v>1071</v>
      </c>
      <c r="C524" s="5" t="s">
        <v>12</v>
      </c>
      <c r="D524" s="4" t="s">
        <v>311</v>
      </c>
      <c r="E524" s="5" t="s">
        <v>22</v>
      </c>
      <c r="F524" s="4" t="s">
        <v>902</v>
      </c>
      <c r="N524" s="4" t="s">
        <v>73</v>
      </c>
      <c r="O524" s="6">
        <v>45174</v>
      </c>
      <c r="Q524" s="9">
        <f ca="1">IF(P524="",TODAY()-O524,P524-O524)</f>
        <v>395</v>
      </c>
      <c r="S524" s="5" t="s">
        <v>121</v>
      </c>
      <c r="T524" s="4" t="s">
        <v>38</v>
      </c>
      <c r="U524" s="5" t="s">
        <v>29</v>
      </c>
      <c r="W524" s="5" t="s">
        <v>39</v>
      </c>
      <c r="Z524" s="7" t="s">
        <v>1521</v>
      </c>
    </row>
    <row r="525" spans="1:26" x14ac:dyDescent="0.25">
      <c r="A525" s="7" t="s">
        <v>1516</v>
      </c>
      <c r="B525" s="7" t="s">
        <v>1071</v>
      </c>
      <c r="C525" s="5" t="s">
        <v>12</v>
      </c>
      <c r="D525" s="4" t="s">
        <v>20</v>
      </c>
      <c r="E525" s="5" t="s">
        <v>22</v>
      </c>
      <c r="F525" s="4" t="s">
        <v>384</v>
      </c>
      <c r="N525" s="4" t="s">
        <v>9</v>
      </c>
      <c r="O525" s="6">
        <v>45175</v>
      </c>
      <c r="P525" s="11">
        <v>45176</v>
      </c>
      <c r="Q525" s="9">
        <f ca="1">IF(P525="",TODAY()-O525,P525-O525)</f>
        <v>1</v>
      </c>
      <c r="R525" s="4" t="s">
        <v>42</v>
      </c>
      <c r="S525" s="5" t="s">
        <v>631</v>
      </c>
      <c r="U525" s="5" t="s">
        <v>30</v>
      </c>
      <c r="W525" s="5" t="s">
        <v>38</v>
      </c>
      <c r="Y525" s="44"/>
      <c r="Z525" s="7" t="s">
        <v>1517</v>
      </c>
    </row>
    <row r="526" spans="1:26" x14ac:dyDescent="0.25">
      <c r="A526" s="7" t="s">
        <v>1518</v>
      </c>
      <c r="B526" s="7" t="s">
        <v>1071</v>
      </c>
      <c r="C526" s="5" t="s">
        <v>12</v>
      </c>
      <c r="D526" s="4" t="s">
        <v>311</v>
      </c>
      <c r="E526" s="5" t="s">
        <v>24</v>
      </c>
      <c r="F526" s="4" t="s">
        <v>574</v>
      </c>
      <c r="G526" s="9" t="s">
        <v>50</v>
      </c>
      <c r="H526" s="32">
        <v>45180</v>
      </c>
      <c r="J526" s="4" t="s">
        <v>503</v>
      </c>
      <c r="K526" s="6">
        <v>45180</v>
      </c>
      <c r="L526" s="56" t="s">
        <v>2016</v>
      </c>
      <c r="M526" s="56" t="s">
        <v>2016</v>
      </c>
      <c r="N526" s="4" t="s">
        <v>73</v>
      </c>
      <c r="O526" s="6">
        <v>45175</v>
      </c>
      <c r="P526" s="11">
        <v>45189</v>
      </c>
      <c r="Q526" s="9">
        <f ca="1">IF(P526="",TODAY()-O526,P526-O526)</f>
        <v>14</v>
      </c>
      <c r="R526" s="4" t="s">
        <v>43</v>
      </c>
      <c r="S526" s="5" t="s">
        <v>26</v>
      </c>
      <c r="T526" s="4" t="s">
        <v>38</v>
      </c>
      <c r="U526" s="5" t="s">
        <v>30</v>
      </c>
      <c r="W526" s="5" t="s">
        <v>38</v>
      </c>
      <c r="X526" s="38" t="s">
        <v>2058</v>
      </c>
      <c r="Y526" s="44">
        <v>45180</v>
      </c>
      <c r="Z526" s="7" t="s">
        <v>2059</v>
      </c>
    </row>
    <row r="527" spans="1:26" x14ac:dyDescent="0.25">
      <c r="A527" s="7" t="s">
        <v>1875</v>
      </c>
      <c r="B527" s="7" t="s">
        <v>1071</v>
      </c>
      <c r="C527" s="5" t="s">
        <v>12</v>
      </c>
      <c r="D527" s="4" t="s">
        <v>18</v>
      </c>
      <c r="E527" s="5" t="s">
        <v>24</v>
      </c>
      <c r="F527" s="4" t="s">
        <v>1088</v>
      </c>
      <c r="G527" s="9" t="s">
        <v>51</v>
      </c>
      <c r="H527" s="32">
        <v>45188</v>
      </c>
      <c r="I527" s="33">
        <v>45208</v>
      </c>
      <c r="J527" s="4" t="s">
        <v>102</v>
      </c>
      <c r="K527" s="6">
        <v>45219</v>
      </c>
      <c r="L527" s="56"/>
      <c r="M527" s="56"/>
      <c r="N527" s="4" t="s">
        <v>73</v>
      </c>
      <c r="O527" s="6">
        <v>45178</v>
      </c>
      <c r="P527" s="11">
        <v>45282</v>
      </c>
      <c r="Q527" s="9">
        <f ca="1">IF(P527="",TODAY()-O527,P527-O527)</f>
        <v>104</v>
      </c>
      <c r="R527" s="4" t="s">
        <v>41</v>
      </c>
      <c r="S527" s="5" t="s">
        <v>26</v>
      </c>
      <c r="U527" s="5" t="s">
        <v>29</v>
      </c>
      <c r="V527" s="4">
        <v>990</v>
      </c>
      <c r="W527" s="5" t="s">
        <v>39</v>
      </c>
      <c r="Z527" s="7" t="s">
        <v>1927</v>
      </c>
    </row>
    <row r="528" spans="1:26" x14ac:dyDescent="0.25">
      <c r="A528" s="7" t="s">
        <v>1694</v>
      </c>
      <c r="B528" s="7" t="s">
        <v>1071</v>
      </c>
      <c r="C528" s="5" t="s">
        <v>12</v>
      </c>
      <c r="D528" s="4" t="s">
        <v>16</v>
      </c>
      <c r="E528" s="5" t="s">
        <v>25</v>
      </c>
      <c r="F528" s="4" t="s">
        <v>384</v>
      </c>
      <c r="K528" s="6">
        <v>45179</v>
      </c>
      <c r="L528" s="56"/>
      <c r="M528" s="56"/>
      <c r="N528" s="4" t="s">
        <v>73</v>
      </c>
      <c r="O528" s="6">
        <v>45178</v>
      </c>
      <c r="P528" s="11">
        <v>45185</v>
      </c>
      <c r="Q528" s="9">
        <f ca="1">IF(P528="",TODAY()-O528,P528-O528)</f>
        <v>7</v>
      </c>
      <c r="R528" s="4" t="s">
        <v>896</v>
      </c>
      <c r="S528" s="5" t="s">
        <v>631</v>
      </c>
      <c r="T528" s="4" t="s">
        <v>38</v>
      </c>
      <c r="U528" s="5" t="s">
        <v>30</v>
      </c>
      <c r="W528" s="5" t="s">
        <v>38</v>
      </c>
      <c r="Z528" s="7" t="s">
        <v>1695</v>
      </c>
    </row>
    <row r="529" spans="1:26" x14ac:dyDescent="0.25">
      <c r="A529" s="7" t="s">
        <v>1507</v>
      </c>
      <c r="B529" s="7" t="s">
        <v>1071</v>
      </c>
      <c r="C529" s="5" t="s">
        <v>12</v>
      </c>
      <c r="D529" s="4" t="s">
        <v>311</v>
      </c>
      <c r="E529" s="5" t="s">
        <v>23</v>
      </c>
      <c r="F529" s="4" t="s">
        <v>902</v>
      </c>
      <c r="G529" s="9" t="s">
        <v>51</v>
      </c>
      <c r="H529" s="32">
        <v>45201</v>
      </c>
      <c r="I529" s="33">
        <v>45222</v>
      </c>
      <c r="J529" s="4" t="s">
        <v>503</v>
      </c>
      <c r="N529" s="4" t="s">
        <v>73</v>
      </c>
      <c r="O529" s="6">
        <v>45179</v>
      </c>
      <c r="P529" s="11">
        <v>45239</v>
      </c>
      <c r="Q529" s="9">
        <f ca="1">IF(P529="",TODAY()-O529,P529-O529)</f>
        <v>60</v>
      </c>
      <c r="R529" s="4" t="s">
        <v>41</v>
      </c>
      <c r="S529" s="5" t="s">
        <v>26</v>
      </c>
      <c r="T529" s="4" t="s">
        <v>38</v>
      </c>
      <c r="U529" s="5" t="s">
        <v>30</v>
      </c>
      <c r="W529" s="5" t="s">
        <v>39</v>
      </c>
      <c r="X529" s="38" t="s">
        <v>2160</v>
      </c>
      <c r="Y529" s="44">
        <v>45222</v>
      </c>
      <c r="Z529" s="7" t="s">
        <v>1772</v>
      </c>
    </row>
    <row r="530" spans="1:26" x14ac:dyDescent="0.25">
      <c r="A530" s="7" t="s">
        <v>1561</v>
      </c>
      <c r="B530" s="7" t="s">
        <v>1071</v>
      </c>
      <c r="C530" s="5" t="s">
        <v>12</v>
      </c>
      <c r="D530" s="4" t="s">
        <v>16</v>
      </c>
      <c r="E530" s="5" t="s">
        <v>25</v>
      </c>
      <c r="F530" s="4" t="s">
        <v>384</v>
      </c>
      <c r="K530" s="6">
        <v>45180</v>
      </c>
      <c r="L530" s="56"/>
      <c r="M530" s="56"/>
      <c r="N530" s="4" t="s">
        <v>73</v>
      </c>
      <c r="O530" s="6">
        <v>45179</v>
      </c>
      <c r="Q530" s="9">
        <f ca="1">IF(P530="",TODAY()-O530,P530-O530)</f>
        <v>390</v>
      </c>
      <c r="S530" s="5" t="s">
        <v>631</v>
      </c>
      <c r="T530" s="4" t="s">
        <v>38</v>
      </c>
      <c r="U530" s="5" t="s">
        <v>30</v>
      </c>
      <c r="Z530" s="7" t="s">
        <v>1525</v>
      </c>
    </row>
    <row r="531" spans="1:26" x14ac:dyDescent="0.25">
      <c r="A531" s="7" t="s">
        <v>1546</v>
      </c>
      <c r="B531" s="7" t="s">
        <v>1071</v>
      </c>
      <c r="C531" s="5" t="s">
        <v>12</v>
      </c>
      <c r="D531" s="4" t="s">
        <v>17</v>
      </c>
      <c r="E531" s="5" t="s">
        <v>22</v>
      </c>
      <c r="F531" s="4" t="s">
        <v>553</v>
      </c>
      <c r="G531" s="9" t="s">
        <v>50</v>
      </c>
      <c r="H531" s="32">
        <v>45182</v>
      </c>
      <c r="J531" s="4" t="s">
        <v>102</v>
      </c>
      <c r="N531" s="4" t="s">
        <v>73</v>
      </c>
      <c r="O531" s="6">
        <v>45179</v>
      </c>
      <c r="Q531" s="9">
        <f ca="1">IF(P531="",TODAY()-O531,P531-O531)</f>
        <v>390</v>
      </c>
      <c r="S531" s="5" t="s">
        <v>26</v>
      </c>
      <c r="T531" s="4" t="s">
        <v>1549</v>
      </c>
      <c r="U531" s="5" t="s">
        <v>33</v>
      </c>
      <c r="W531" s="5" t="s">
        <v>39</v>
      </c>
      <c r="Z531" s="7" t="s">
        <v>1548</v>
      </c>
    </row>
    <row r="532" spans="1:26" x14ac:dyDescent="0.25">
      <c r="A532" s="7" t="s">
        <v>1547</v>
      </c>
      <c r="B532" s="7" t="s">
        <v>1071</v>
      </c>
      <c r="C532" s="5" t="s">
        <v>12</v>
      </c>
      <c r="D532" s="4" t="s">
        <v>17</v>
      </c>
      <c r="E532" s="5" t="s">
        <v>22</v>
      </c>
      <c r="F532" s="4" t="s">
        <v>553</v>
      </c>
      <c r="G532" s="9" t="s">
        <v>50</v>
      </c>
      <c r="H532" s="32">
        <v>45182</v>
      </c>
      <c r="J532" s="4" t="s">
        <v>102</v>
      </c>
      <c r="N532" s="4" t="s">
        <v>73</v>
      </c>
      <c r="O532" s="6">
        <v>45179</v>
      </c>
      <c r="Q532" s="9">
        <f ca="1">IF(P532="",TODAY()-O532,P532-O532)</f>
        <v>390</v>
      </c>
      <c r="S532" s="5" t="s">
        <v>26</v>
      </c>
      <c r="T532" s="4" t="s">
        <v>1549</v>
      </c>
      <c r="U532" s="5" t="s">
        <v>33</v>
      </c>
      <c r="W532" s="5" t="s">
        <v>39</v>
      </c>
      <c r="Z532" s="7" t="s">
        <v>1548</v>
      </c>
    </row>
    <row r="533" spans="1:26" x14ac:dyDescent="0.25">
      <c r="A533" s="7" t="s">
        <v>1527</v>
      </c>
      <c r="B533" s="7" t="s">
        <v>1071</v>
      </c>
      <c r="C533" s="5" t="s">
        <v>12</v>
      </c>
      <c r="D533" s="4" t="s">
        <v>20</v>
      </c>
      <c r="E533" s="5" t="s">
        <v>23</v>
      </c>
      <c r="F533" s="4" t="s">
        <v>799</v>
      </c>
      <c r="N533" s="4" t="s">
        <v>73</v>
      </c>
      <c r="O533" s="6">
        <v>45181</v>
      </c>
      <c r="P533" s="11">
        <v>45186</v>
      </c>
      <c r="Q533" s="9">
        <f ca="1">IF(P533="",TODAY()-O533,P533-O533)</f>
        <v>5</v>
      </c>
      <c r="R533" s="4" t="s">
        <v>43</v>
      </c>
      <c r="S533" s="5" t="s">
        <v>26</v>
      </c>
      <c r="T533" s="4" t="s">
        <v>38</v>
      </c>
      <c r="U533" s="5" t="s">
        <v>29</v>
      </c>
      <c r="W533" s="5" t="s">
        <v>39</v>
      </c>
      <c r="Z533" s="7" t="s">
        <v>1528</v>
      </c>
    </row>
    <row r="534" spans="1:26" x14ac:dyDescent="0.25">
      <c r="A534" s="7" t="s">
        <v>1526</v>
      </c>
      <c r="B534" s="7" t="s">
        <v>1071</v>
      </c>
      <c r="C534" s="5" t="s">
        <v>12</v>
      </c>
      <c r="D534" s="4" t="s">
        <v>20</v>
      </c>
      <c r="E534" s="5" t="s">
        <v>24</v>
      </c>
      <c r="F534" s="4" t="s">
        <v>799</v>
      </c>
      <c r="G534" s="9" t="s">
        <v>51</v>
      </c>
      <c r="H534" s="32">
        <v>45268</v>
      </c>
      <c r="I534" s="33">
        <v>45296</v>
      </c>
      <c r="J534" s="4" t="s">
        <v>101</v>
      </c>
      <c r="K534" s="6">
        <v>45296</v>
      </c>
      <c r="L534" s="56"/>
      <c r="M534" s="56"/>
      <c r="N534" s="4" t="s">
        <v>73</v>
      </c>
      <c r="O534" s="6">
        <v>45182</v>
      </c>
      <c r="P534" s="11">
        <v>45324</v>
      </c>
      <c r="Q534" s="9">
        <f ca="1">IF(P534="",TODAY()-O534,P534-O534)</f>
        <v>142</v>
      </c>
      <c r="R534" s="4" t="s">
        <v>41</v>
      </c>
      <c r="S534" s="5" t="s">
        <v>26</v>
      </c>
      <c r="T534" s="4" t="s">
        <v>38</v>
      </c>
      <c r="U534" s="5" t="s">
        <v>31</v>
      </c>
      <c r="W534" s="5" t="s">
        <v>39</v>
      </c>
      <c r="X534" s="38" t="s">
        <v>1977</v>
      </c>
      <c r="Y534" s="44">
        <v>45296</v>
      </c>
      <c r="Z534" s="7" t="s">
        <v>1976</v>
      </c>
    </row>
    <row r="535" spans="1:26" x14ac:dyDescent="0.25">
      <c r="A535" s="7" t="s">
        <v>1563</v>
      </c>
      <c r="B535" s="7" t="s">
        <v>1071</v>
      </c>
      <c r="C535" s="5" t="s">
        <v>12</v>
      </c>
      <c r="D535" s="4" t="s">
        <v>16</v>
      </c>
      <c r="E535" s="5" t="s">
        <v>24</v>
      </c>
      <c r="F535" s="4" t="s">
        <v>384</v>
      </c>
      <c r="K535" s="6">
        <v>45184</v>
      </c>
      <c r="L535" s="56"/>
      <c r="M535" s="56"/>
      <c r="N535" s="4" t="s">
        <v>73</v>
      </c>
      <c r="O535" s="6">
        <v>45183</v>
      </c>
      <c r="P535" s="11">
        <v>45185</v>
      </c>
      <c r="Q535" s="9">
        <f ca="1">IF(P535="",TODAY()-O535,P535-O535)</f>
        <v>2</v>
      </c>
      <c r="R535" s="4" t="s">
        <v>896</v>
      </c>
      <c r="S535" s="5" t="s">
        <v>631</v>
      </c>
      <c r="T535" s="4" t="s">
        <v>38</v>
      </c>
      <c r="U535" s="5" t="s">
        <v>30</v>
      </c>
      <c r="W535" s="5" t="s">
        <v>38</v>
      </c>
      <c r="Z535" s="7" t="s">
        <v>1562</v>
      </c>
    </row>
    <row r="536" spans="1:26" x14ac:dyDescent="0.25">
      <c r="A536" s="7" t="s">
        <v>1685</v>
      </c>
      <c r="B536" s="7" t="s">
        <v>1071</v>
      </c>
      <c r="C536" s="5" t="s">
        <v>12</v>
      </c>
      <c r="D536" s="4" t="s">
        <v>16</v>
      </c>
      <c r="E536" s="5" t="s">
        <v>25</v>
      </c>
      <c r="F536" s="4" t="s">
        <v>1556</v>
      </c>
      <c r="G536" s="9" t="s">
        <v>50</v>
      </c>
      <c r="H536" s="32">
        <v>45252</v>
      </c>
      <c r="I536" s="33">
        <v>45280</v>
      </c>
      <c r="J536" s="4" t="s">
        <v>101</v>
      </c>
      <c r="K536" s="6">
        <v>45185</v>
      </c>
      <c r="L536" s="56"/>
      <c r="M536" s="56"/>
      <c r="N536" s="4" t="s">
        <v>73</v>
      </c>
      <c r="O536" s="6">
        <v>45185</v>
      </c>
      <c r="Q536" s="9">
        <f ca="1">IF(P536="",TODAY()-O536,P536-O536)</f>
        <v>384</v>
      </c>
      <c r="S536" s="5" t="s">
        <v>27</v>
      </c>
      <c r="T536" s="4" t="s">
        <v>38</v>
      </c>
      <c r="U536" s="5" t="s">
        <v>29</v>
      </c>
      <c r="V536" s="4">
        <v>994</v>
      </c>
      <c r="W536" s="5" t="s">
        <v>38</v>
      </c>
      <c r="X536" s="38" t="s">
        <v>2392</v>
      </c>
      <c r="Y536" s="44">
        <v>45280</v>
      </c>
      <c r="Z536" s="7" t="s">
        <v>1883</v>
      </c>
    </row>
    <row r="537" spans="1:26" x14ac:dyDescent="0.25">
      <c r="A537" s="41" t="s">
        <v>1553</v>
      </c>
      <c r="B537" s="7" t="s">
        <v>1071</v>
      </c>
      <c r="C537" s="5" t="s">
        <v>12</v>
      </c>
      <c r="D537" s="4" t="s">
        <v>311</v>
      </c>
      <c r="E537" s="5" t="s">
        <v>22</v>
      </c>
      <c r="F537" s="4" t="s">
        <v>1557</v>
      </c>
      <c r="G537" s="9" t="s">
        <v>50</v>
      </c>
      <c r="H537" s="32">
        <v>45252</v>
      </c>
      <c r="I537" s="33">
        <v>45280</v>
      </c>
      <c r="J537" s="4" t="s">
        <v>101</v>
      </c>
      <c r="N537" s="4" t="s">
        <v>73</v>
      </c>
      <c r="O537" s="6">
        <v>45185</v>
      </c>
      <c r="P537" s="11">
        <v>45298</v>
      </c>
      <c r="Q537" s="9">
        <f ca="1">IF(P537="",TODAY()-O537,P537-O537)</f>
        <v>113</v>
      </c>
      <c r="R537" s="4" t="s">
        <v>41</v>
      </c>
      <c r="S537" s="5" t="s">
        <v>27</v>
      </c>
      <c r="T537" s="4" t="s">
        <v>38</v>
      </c>
      <c r="U537" s="5" t="s">
        <v>29</v>
      </c>
      <c r="V537" s="4">
        <v>994.1</v>
      </c>
      <c r="W537" s="5" t="s">
        <v>38</v>
      </c>
      <c r="X537" s="38" t="s">
        <v>1887</v>
      </c>
      <c r="Y537" s="44">
        <v>45280</v>
      </c>
      <c r="Z537" s="7" t="s">
        <v>1882</v>
      </c>
    </row>
    <row r="538" spans="1:26" x14ac:dyDescent="0.25">
      <c r="A538" s="7" t="s">
        <v>1554</v>
      </c>
      <c r="B538" s="7" t="s">
        <v>1071</v>
      </c>
      <c r="C538" s="5" t="s">
        <v>12</v>
      </c>
      <c r="D538" s="4" t="s">
        <v>311</v>
      </c>
      <c r="E538" s="5" t="s">
        <v>22</v>
      </c>
      <c r="F538" s="4" t="s">
        <v>1557</v>
      </c>
      <c r="G538" s="9" t="s">
        <v>50</v>
      </c>
      <c r="H538" s="32">
        <v>45252</v>
      </c>
      <c r="I538" s="33">
        <v>45280</v>
      </c>
      <c r="J538" s="4" t="s">
        <v>101</v>
      </c>
      <c r="N538" s="4" t="s">
        <v>73</v>
      </c>
      <c r="O538" s="6">
        <v>45185</v>
      </c>
      <c r="P538" s="11">
        <v>45298</v>
      </c>
      <c r="Q538" s="9">
        <f ca="1">IF(P538="",TODAY()-O538,P538-O538)</f>
        <v>113</v>
      </c>
      <c r="R538" s="4" t="s">
        <v>41</v>
      </c>
      <c r="S538" s="5" t="s">
        <v>27</v>
      </c>
      <c r="T538" s="4" t="s">
        <v>38</v>
      </c>
      <c r="U538" s="5" t="s">
        <v>29</v>
      </c>
      <c r="V538" s="4">
        <v>994.2</v>
      </c>
      <c r="W538" s="5" t="s">
        <v>38</v>
      </c>
      <c r="X538" s="38" t="s">
        <v>1888</v>
      </c>
      <c r="Y538" s="44">
        <v>45280</v>
      </c>
      <c r="Z538" s="7" t="s">
        <v>1882</v>
      </c>
    </row>
    <row r="539" spans="1:26" x14ac:dyDescent="0.25">
      <c r="A539" s="7" t="s">
        <v>1555</v>
      </c>
      <c r="B539" s="7" t="s">
        <v>1071</v>
      </c>
      <c r="C539" s="5" t="s">
        <v>12</v>
      </c>
      <c r="D539" s="4" t="s">
        <v>311</v>
      </c>
      <c r="E539" s="5" t="s">
        <v>23</v>
      </c>
      <c r="F539" s="4" t="s">
        <v>1557</v>
      </c>
      <c r="G539" s="9" t="s">
        <v>50</v>
      </c>
      <c r="H539" s="32">
        <v>45252</v>
      </c>
      <c r="I539" s="33">
        <v>45280</v>
      </c>
      <c r="J539" s="4" t="s">
        <v>101</v>
      </c>
      <c r="N539" s="4" t="s">
        <v>73</v>
      </c>
      <c r="O539" s="6">
        <v>45185</v>
      </c>
      <c r="P539" s="11">
        <v>45284</v>
      </c>
      <c r="Q539" s="9">
        <f ca="1">IF(P539="",TODAY()-O539,P539-O539)</f>
        <v>99</v>
      </c>
      <c r="R539" s="4" t="s">
        <v>41</v>
      </c>
      <c r="S539" s="5" t="s">
        <v>27</v>
      </c>
      <c r="T539" s="4" t="s">
        <v>38</v>
      </c>
      <c r="U539" s="5" t="s">
        <v>29</v>
      </c>
      <c r="V539" s="4">
        <v>994.3</v>
      </c>
      <c r="W539" s="5" t="s">
        <v>38</v>
      </c>
      <c r="X539" s="38" t="s">
        <v>1880</v>
      </c>
      <c r="Y539" s="44">
        <v>45280</v>
      </c>
      <c r="Z539" s="7" t="s">
        <v>1881</v>
      </c>
    </row>
    <row r="540" spans="1:26" x14ac:dyDescent="0.25">
      <c r="A540" s="7" t="s">
        <v>1558</v>
      </c>
      <c r="B540" s="7" t="s">
        <v>1071</v>
      </c>
      <c r="C540" s="5" t="s">
        <v>12</v>
      </c>
      <c r="D540" s="4" t="s">
        <v>20</v>
      </c>
      <c r="E540" s="5" t="s">
        <v>22</v>
      </c>
      <c r="F540" s="4" t="s">
        <v>799</v>
      </c>
      <c r="N540" s="4" t="s">
        <v>73</v>
      </c>
      <c r="O540" s="6">
        <v>45186</v>
      </c>
      <c r="P540" s="11">
        <v>45188</v>
      </c>
      <c r="Q540" s="9">
        <f ca="1">IF(P540="",TODAY()-O540,P540-O540)</f>
        <v>2</v>
      </c>
      <c r="R540" s="4" t="s">
        <v>43</v>
      </c>
      <c r="S540" s="5" t="s">
        <v>26</v>
      </c>
      <c r="U540" s="5" t="s">
        <v>29</v>
      </c>
      <c r="V540" s="4">
        <v>996</v>
      </c>
      <c r="W540" s="5" t="s">
        <v>39</v>
      </c>
      <c r="Z540" s="7" t="s">
        <v>1629</v>
      </c>
    </row>
    <row r="541" spans="1:26" x14ac:dyDescent="0.25">
      <c r="A541" s="7" t="s">
        <v>1649</v>
      </c>
      <c r="B541" s="7" t="s">
        <v>1071</v>
      </c>
      <c r="C541" s="5" t="s">
        <v>12</v>
      </c>
      <c r="D541" s="4" t="s">
        <v>18</v>
      </c>
      <c r="E541" s="5" t="s">
        <v>23</v>
      </c>
      <c r="F541" s="4" t="s">
        <v>591</v>
      </c>
      <c r="G541" s="9" t="s">
        <v>51</v>
      </c>
      <c r="H541" s="32">
        <v>45202</v>
      </c>
      <c r="I541" s="33">
        <v>45233</v>
      </c>
      <c r="J541" s="4" t="s">
        <v>101</v>
      </c>
      <c r="K541" s="6">
        <v>45202</v>
      </c>
      <c r="L541" s="56"/>
      <c r="M541" s="56"/>
      <c r="N541" s="4" t="s">
        <v>73</v>
      </c>
      <c r="O541" s="6">
        <v>45187</v>
      </c>
      <c r="P541" s="11">
        <v>45330</v>
      </c>
      <c r="Q541" s="9">
        <f ca="1">IF(P541="",TODAY()-O541,P541-O541)</f>
        <v>143</v>
      </c>
      <c r="R541" s="4" t="s">
        <v>41</v>
      </c>
      <c r="S541" s="5" t="s">
        <v>27</v>
      </c>
      <c r="T541" s="4" t="s">
        <v>112</v>
      </c>
      <c r="U541" s="5" t="s">
        <v>29</v>
      </c>
      <c r="V541" s="4">
        <v>1004</v>
      </c>
      <c r="W541" s="5" t="s">
        <v>39</v>
      </c>
      <c r="X541" s="38" t="s">
        <v>1915</v>
      </c>
      <c r="Y541" s="44">
        <v>45202</v>
      </c>
      <c r="Z541" s="7" t="s">
        <v>1916</v>
      </c>
    </row>
    <row r="542" spans="1:26" x14ac:dyDescent="0.25">
      <c r="A542" s="7" t="s">
        <v>1650</v>
      </c>
      <c r="B542" s="7" t="s">
        <v>1071</v>
      </c>
      <c r="C542" s="5" t="s">
        <v>12</v>
      </c>
      <c r="D542" s="4" t="s">
        <v>17</v>
      </c>
      <c r="H542" s="32"/>
      <c r="N542" s="4" t="s">
        <v>73</v>
      </c>
      <c r="O542" s="6">
        <v>45187</v>
      </c>
      <c r="P542" s="11">
        <v>45201</v>
      </c>
      <c r="Q542" s="9">
        <f ca="1">IF(P542="",TODAY()-O542,P542-O542)</f>
        <v>14</v>
      </c>
      <c r="R542" s="4" t="s">
        <v>43</v>
      </c>
      <c r="S542" s="5" t="s">
        <v>27</v>
      </c>
      <c r="T542" s="4" t="s">
        <v>112</v>
      </c>
      <c r="U542" s="5" t="s">
        <v>29</v>
      </c>
      <c r="V542" s="4">
        <v>1005</v>
      </c>
      <c r="W542" s="5" t="s">
        <v>39</v>
      </c>
      <c r="Z542" s="7" t="s">
        <v>1653</v>
      </c>
    </row>
    <row r="543" spans="1:26" x14ac:dyDescent="0.25">
      <c r="A543" s="7" t="s">
        <v>1651</v>
      </c>
      <c r="B543" s="7" t="s">
        <v>1071</v>
      </c>
      <c r="C543" s="5" t="s">
        <v>12</v>
      </c>
      <c r="D543" s="4" t="s">
        <v>17</v>
      </c>
      <c r="H543" s="32"/>
      <c r="N543" s="4" t="s">
        <v>73</v>
      </c>
      <c r="O543" s="6">
        <v>45187</v>
      </c>
      <c r="P543" s="11">
        <v>45202</v>
      </c>
      <c r="Q543" s="9">
        <f ca="1">IF(P543="",TODAY()-O543,P543-O543)</f>
        <v>15</v>
      </c>
      <c r="R543" s="4" t="s">
        <v>43</v>
      </c>
      <c r="S543" s="5" t="s">
        <v>27</v>
      </c>
      <c r="T543" s="4" t="s">
        <v>112</v>
      </c>
      <c r="U543" s="5" t="s">
        <v>29</v>
      </c>
      <c r="V543" s="4">
        <v>1006</v>
      </c>
      <c r="W543" s="5" t="s">
        <v>39</v>
      </c>
      <c r="Z543" s="7" t="s">
        <v>1653</v>
      </c>
    </row>
    <row r="544" spans="1:26" x14ac:dyDescent="0.25">
      <c r="A544" s="7" t="s">
        <v>1652</v>
      </c>
      <c r="B544" s="7" t="s">
        <v>1071</v>
      </c>
      <c r="C544" s="5" t="s">
        <v>12</v>
      </c>
      <c r="D544" s="4" t="s">
        <v>20</v>
      </c>
      <c r="H544" s="32"/>
      <c r="N544" s="4" t="s">
        <v>73</v>
      </c>
      <c r="O544" s="6">
        <v>45187</v>
      </c>
      <c r="P544" s="11">
        <v>45205</v>
      </c>
      <c r="Q544" s="9">
        <f ca="1">IF(P544="",TODAY()-O544,P544-O544)</f>
        <v>18</v>
      </c>
      <c r="R544" s="4" t="s">
        <v>43</v>
      </c>
      <c r="S544" s="5" t="s">
        <v>27</v>
      </c>
      <c r="T544" s="4" t="s">
        <v>112</v>
      </c>
      <c r="U544" s="5" t="s">
        <v>29</v>
      </c>
      <c r="V544" s="4">
        <v>1007</v>
      </c>
      <c r="W544" s="5" t="s">
        <v>39</v>
      </c>
      <c r="Z544" s="7" t="s">
        <v>1653</v>
      </c>
    </row>
    <row r="545" spans="1:26" x14ac:dyDescent="0.25">
      <c r="A545" s="7" t="s">
        <v>1559</v>
      </c>
      <c r="B545" s="7" t="s">
        <v>1071</v>
      </c>
      <c r="C545" s="5" t="s">
        <v>12</v>
      </c>
      <c r="D545" s="4" t="s">
        <v>127</v>
      </c>
      <c r="E545" s="5" t="s">
        <v>23</v>
      </c>
      <c r="F545" s="4" t="s">
        <v>384</v>
      </c>
      <c r="G545" s="9" t="s">
        <v>50</v>
      </c>
      <c r="H545" s="32">
        <v>45218</v>
      </c>
      <c r="K545" s="6">
        <v>45205</v>
      </c>
      <c r="L545" s="56"/>
      <c r="M545" s="56"/>
      <c r="N545" s="4" t="s">
        <v>73</v>
      </c>
      <c r="O545" s="6">
        <v>45187</v>
      </c>
      <c r="Q545" s="9">
        <f ca="1">IF(P545="",TODAY()-O545,P545-O545)</f>
        <v>382</v>
      </c>
      <c r="S545" s="5" t="s">
        <v>26</v>
      </c>
      <c r="T545" s="4" t="s">
        <v>1441</v>
      </c>
      <c r="U545" s="5" t="s">
        <v>30</v>
      </c>
      <c r="V545" s="4">
        <v>1021</v>
      </c>
      <c r="W545" s="5" t="s">
        <v>39</v>
      </c>
      <c r="X545" s="38" t="s">
        <v>1748</v>
      </c>
      <c r="Y545" s="44">
        <v>45205</v>
      </c>
      <c r="Z545" s="7" t="s">
        <v>1761</v>
      </c>
    </row>
    <row r="546" spans="1:26" x14ac:dyDescent="0.25">
      <c r="A546" s="7" t="s">
        <v>2025</v>
      </c>
      <c r="B546" s="7" t="s">
        <v>1071</v>
      </c>
      <c r="C546" s="5" t="s">
        <v>12</v>
      </c>
      <c r="D546" s="4" t="s">
        <v>16</v>
      </c>
      <c r="E546" s="5" t="s">
        <v>25</v>
      </c>
      <c r="F546" s="4" t="s">
        <v>579</v>
      </c>
      <c r="K546" s="6">
        <v>45217</v>
      </c>
      <c r="O546" s="6">
        <v>45188</v>
      </c>
      <c r="P546" s="11">
        <v>45217</v>
      </c>
      <c r="Q546" s="9">
        <f ca="1">IF(P546="",TODAY()-O546,P546-O546)</f>
        <v>29</v>
      </c>
      <c r="S546" s="5" t="s">
        <v>26</v>
      </c>
      <c r="U546" s="5" t="s">
        <v>29</v>
      </c>
      <c r="V546" s="4">
        <v>995</v>
      </c>
      <c r="Y546" s="44">
        <v>45217</v>
      </c>
      <c r="Z546" s="7" t="s">
        <v>2026</v>
      </c>
    </row>
    <row r="547" spans="1:26" x14ac:dyDescent="0.25">
      <c r="A547" s="7" t="s">
        <v>1821</v>
      </c>
      <c r="B547" s="7" t="s">
        <v>1071</v>
      </c>
      <c r="C547" s="5" t="s">
        <v>12</v>
      </c>
      <c r="D547" s="4" t="s">
        <v>311</v>
      </c>
      <c r="F547" s="4" t="s">
        <v>583</v>
      </c>
      <c r="N547" s="4" t="s">
        <v>73</v>
      </c>
      <c r="O547" s="6">
        <v>45189</v>
      </c>
      <c r="Q547" s="9">
        <f ca="1">IF(P547="",TODAY()-O547,P547-O547)</f>
        <v>380</v>
      </c>
      <c r="S547" s="5" t="s">
        <v>26</v>
      </c>
      <c r="T547" s="4" t="s">
        <v>955</v>
      </c>
      <c r="U547" s="5" t="s">
        <v>29</v>
      </c>
      <c r="V547" s="4">
        <v>1038</v>
      </c>
      <c r="W547" s="5" t="s">
        <v>39</v>
      </c>
      <c r="Z547" s="7" t="s">
        <v>1944</v>
      </c>
    </row>
    <row r="548" spans="1:26" x14ac:dyDescent="0.25">
      <c r="A548" s="7" t="s">
        <v>1636</v>
      </c>
      <c r="B548" s="7" t="s">
        <v>1071</v>
      </c>
      <c r="C548" s="5" t="s">
        <v>12</v>
      </c>
      <c r="D548" s="4" t="s">
        <v>311</v>
      </c>
      <c r="E548" s="5" t="s">
        <v>25</v>
      </c>
      <c r="F548" s="11" t="s">
        <v>1749</v>
      </c>
      <c r="G548" s="9" t="s">
        <v>51</v>
      </c>
      <c r="H548" s="32">
        <v>45194</v>
      </c>
      <c r="I548" s="33">
        <v>45218</v>
      </c>
      <c r="J548" s="4" t="s">
        <v>102</v>
      </c>
      <c r="K548" s="6">
        <v>45194</v>
      </c>
      <c r="L548" s="56"/>
      <c r="M548" s="56"/>
      <c r="N548" s="4" t="s">
        <v>73</v>
      </c>
      <c r="O548" s="6">
        <v>45192</v>
      </c>
      <c r="Q548" s="9">
        <f ca="1">IF(P548="",TODAY()-O548,P548-O548)</f>
        <v>377</v>
      </c>
      <c r="S548" s="5" t="s">
        <v>26</v>
      </c>
      <c r="T548" s="4" t="s">
        <v>38</v>
      </c>
      <c r="U548" s="5" t="s">
        <v>29</v>
      </c>
      <c r="V548" s="4">
        <v>999</v>
      </c>
      <c r="W548" s="5" t="s">
        <v>39</v>
      </c>
      <c r="Z548" s="7" t="s">
        <v>1639</v>
      </c>
    </row>
    <row r="549" spans="1:26" x14ac:dyDescent="0.25">
      <c r="A549" s="7" t="s">
        <v>1637</v>
      </c>
      <c r="B549" s="7" t="s">
        <v>1071</v>
      </c>
      <c r="C549" s="5" t="s">
        <v>12</v>
      </c>
      <c r="D549" s="4" t="s">
        <v>311</v>
      </c>
      <c r="F549" s="4" t="s">
        <v>799</v>
      </c>
      <c r="O549" s="6">
        <v>45192</v>
      </c>
      <c r="P549" s="11">
        <v>45192</v>
      </c>
      <c r="Q549" s="9">
        <f ca="1">IF(P549="",TODAY()-O549,P549-O549)</f>
        <v>0</v>
      </c>
      <c r="R549" s="4" t="s">
        <v>42</v>
      </c>
      <c r="S549" s="5" t="s">
        <v>26</v>
      </c>
      <c r="U549" s="5" t="s">
        <v>29</v>
      </c>
      <c r="Z549" s="7" t="s">
        <v>1640</v>
      </c>
    </row>
    <row r="550" spans="1:26" x14ac:dyDescent="0.25">
      <c r="A550" s="7" t="s">
        <v>1638</v>
      </c>
      <c r="B550" s="7" t="s">
        <v>1071</v>
      </c>
      <c r="C550" s="5" t="s">
        <v>12</v>
      </c>
      <c r="D550" s="4" t="s">
        <v>311</v>
      </c>
      <c r="F550" s="4" t="s">
        <v>799</v>
      </c>
      <c r="N550" s="4" t="s">
        <v>73</v>
      </c>
      <c r="O550" s="6">
        <v>45192</v>
      </c>
      <c r="P550" s="11">
        <v>45196</v>
      </c>
      <c r="Q550" s="9">
        <f ca="1">IF(P550="",TODAY()-O550,P550-O550)</f>
        <v>4</v>
      </c>
      <c r="R550" s="4" t="s">
        <v>43</v>
      </c>
      <c r="S550" s="5" t="s">
        <v>26</v>
      </c>
      <c r="T550" s="4" t="s">
        <v>38</v>
      </c>
      <c r="U550" s="5" t="s">
        <v>29</v>
      </c>
      <c r="Z550" s="7" t="s">
        <v>1641</v>
      </c>
    </row>
    <row r="551" spans="1:26" x14ac:dyDescent="0.25">
      <c r="A551" s="7" t="s">
        <v>1644</v>
      </c>
      <c r="B551" s="7" t="s">
        <v>1071</v>
      </c>
      <c r="C551" s="5" t="s">
        <v>12</v>
      </c>
      <c r="D551" s="4" t="s">
        <v>17</v>
      </c>
      <c r="E551" s="5" t="s">
        <v>25</v>
      </c>
      <c r="F551" s="4" t="s">
        <v>1645</v>
      </c>
      <c r="G551" s="9" t="s">
        <v>51</v>
      </c>
      <c r="H551" s="32">
        <v>45198</v>
      </c>
      <c r="I551" s="33">
        <v>45219</v>
      </c>
      <c r="J551" s="4" t="s">
        <v>102</v>
      </c>
      <c r="K551" s="6">
        <v>45275</v>
      </c>
      <c r="L551" s="56"/>
      <c r="M551" s="56"/>
      <c r="N551" s="4" t="s">
        <v>73</v>
      </c>
      <c r="O551" s="6">
        <v>45192</v>
      </c>
      <c r="P551" s="11">
        <v>45319</v>
      </c>
      <c r="Q551" s="9">
        <f ca="1">IF(P551="",TODAY()-O551,P551-O551)</f>
        <v>127</v>
      </c>
      <c r="R551" s="4" t="s">
        <v>41</v>
      </c>
      <c r="S551" s="5" t="s">
        <v>26</v>
      </c>
      <c r="T551" s="4" t="s">
        <v>199</v>
      </c>
      <c r="U551" s="5" t="s">
        <v>29</v>
      </c>
      <c r="V551" s="4">
        <v>1003</v>
      </c>
      <c r="W551" s="5" t="s">
        <v>38</v>
      </c>
      <c r="X551" s="38" t="s">
        <v>1911</v>
      </c>
      <c r="Y551" s="44">
        <v>45275</v>
      </c>
      <c r="Z551" s="7" t="s">
        <v>1912</v>
      </c>
    </row>
    <row r="552" spans="1:26" x14ac:dyDescent="0.25">
      <c r="A552" s="7" t="s">
        <v>1756</v>
      </c>
      <c r="B552" s="7" t="s">
        <v>1071</v>
      </c>
      <c r="C552" s="5" t="s">
        <v>12</v>
      </c>
      <c r="N552" s="4" t="s">
        <v>73</v>
      </c>
      <c r="O552" s="6">
        <v>45195</v>
      </c>
      <c r="P552" s="11">
        <v>45195</v>
      </c>
      <c r="Q552" s="9">
        <f ca="1">IF(P552="",TODAY()-O552,P552-O552)</f>
        <v>0</v>
      </c>
      <c r="S552" s="5" t="s">
        <v>121</v>
      </c>
      <c r="U552" s="5" t="s">
        <v>29</v>
      </c>
      <c r="V552" s="4">
        <v>1000</v>
      </c>
      <c r="W552" s="5" t="s">
        <v>39</v>
      </c>
      <c r="Z552" s="7" t="s">
        <v>1758</v>
      </c>
    </row>
    <row r="553" spans="1:26" x14ac:dyDescent="0.25">
      <c r="A553" s="7" t="s">
        <v>1666</v>
      </c>
      <c r="B553" s="7" t="s">
        <v>1071</v>
      </c>
      <c r="C553" s="5" t="s">
        <v>12</v>
      </c>
      <c r="D553" s="4" t="s">
        <v>17</v>
      </c>
      <c r="E553" s="5" t="s">
        <v>24</v>
      </c>
      <c r="F553" s="4" t="s">
        <v>600</v>
      </c>
      <c r="G553" s="9" t="s">
        <v>50</v>
      </c>
      <c r="H553" s="32">
        <v>45217</v>
      </c>
      <c r="I553" s="33">
        <v>45241</v>
      </c>
      <c r="J553" s="4" t="s">
        <v>102</v>
      </c>
      <c r="K553" s="6">
        <v>45217</v>
      </c>
      <c r="L553" s="56"/>
      <c r="M553" s="56"/>
      <c r="N553" s="4" t="s">
        <v>73</v>
      </c>
      <c r="O553" s="6">
        <v>45199</v>
      </c>
      <c r="P553" s="11">
        <v>45264</v>
      </c>
      <c r="Q553" s="9">
        <f ca="1">IF(P553="",TODAY()-O553,P553-O553)</f>
        <v>65</v>
      </c>
      <c r="R553" s="4" t="s">
        <v>41</v>
      </c>
      <c r="S553" s="5" t="s">
        <v>27</v>
      </c>
      <c r="T553" s="4" t="s">
        <v>1664</v>
      </c>
      <c r="U553" s="5" t="s">
        <v>452</v>
      </c>
      <c r="V553" s="4">
        <v>1032</v>
      </c>
      <c r="W553" s="5" t="s">
        <v>38</v>
      </c>
      <c r="X553" s="38" t="s">
        <v>1784</v>
      </c>
      <c r="Y553" s="44">
        <v>45238</v>
      </c>
      <c r="Z553" s="7" t="s">
        <v>1845</v>
      </c>
    </row>
    <row r="554" spans="1:26" x14ac:dyDescent="0.25">
      <c r="A554" s="7" t="s">
        <v>1667</v>
      </c>
      <c r="B554" s="7" t="s">
        <v>1071</v>
      </c>
      <c r="C554" s="5" t="s">
        <v>12</v>
      </c>
      <c r="D554" s="4" t="s">
        <v>20</v>
      </c>
      <c r="E554" s="5" t="s">
        <v>25</v>
      </c>
      <c r="F554" s="4" t="s">
        <v>600</v>
      </c>
      <c r="G554" s="9" t="s">
        <v>50</v>
      </c>
      <c r="H554" s="32">
        <v>45217</v>
      </c>
      <c r="I554" s="33">
        <v>45241</v>
      </c>
      <c r="J554" s="4" t="s">
        <v>102</v>
      </c>
      <c r="K554" s="6">
        <v>45217</v>
      </c>
      <c r="L554" s="56"/>
      <c r="M554" s="56"/>
      <c r="N554" s="4" t="s">
        <v>73</v>
      </c>
      <c r="O554" s="6">
        <v>45199</v>
      </c>
      <c r="P554" s="11">
        <v>45264</v>
      </c>
      <c r="Q554" s="9">
        <f ca="1">IF(P554="",TODAY()-O554,P554-O554)</f>
        <v>65</v>
      </c>
      <c r="R554" s="4" t="s">
        <v>41</v>
      </c>
      <c r="S554" s="5" t="s">
        <v>27</v>
      </c>
      <c r="T554" s="4" t="s">
        <v>1664</v>
      </c>
      <c r="U554" s="5" t="s">
        <v>452</v>
      </c>
      <c r="V554" s="4">
        <v>1033</v>
      </c>
      <c r="W554" s="5" t="s">
        <v>38</v>
      </c>
      <c r="X554" s="38" t="s">
        <v>1783</v>
      </c>
      <c r="Y554" s="44">
        <v>45238</v>
      </c>
      <c r="Z554" s="7" t="s">
        <v>1845</v>
      </c>
    </row>
    <row r="555" spans="1:26" x14ac:dyDescent="0.25">
      <c r="A555" s="7" t="s">
        <v>1668</v>
      </c>
      <c r="B555" s="7" t="s">
        <v>1071</v>
      </c>
      <c r="C555" s="5" t="s">
        <v>12</v>
      </c>
      <c r="D555" s="4" t="s">
        <v>20</v>
      </c>
      <c r="E555" s="5" t="s">
        <v>25</v>
      </c>
      <c r="F555" s="4" t="s">
        <v>600</v>
      </c>
      <c r="G555" s="9" t="s">
        <v>50</v>
      </c>
      <c r="H555" s="32">
        <v>45210</v>
      </c>
      <c r="K555" s="6">
        <v>45210</v>
      </c>
      <c r="L555" s="56"/>
      <c r="M555" s="56"/>
      <c r="N555" s="4" t="s">
        <v>73</v>
      </c>
      <c r="O555" s="6">
        <v>45199</v>
      </c>
      <c r="P555" s="11">
        <v>45212</v>
      </c>
      <c r="Q555" s="9">
        <f ca="1">IF(P555="",TODAY()-O555,P555-O555)</f>
        <v>13</v>
      </c>
      <c r="R555" s="4" t="s">
        <v>42</v>
      </c>
      <c r="S555" s="5" t="s">
        <v>27</v>
      </c>
      <c r="T555" s="4" t="s">
        <v>38</v>
      </c>
      <c r="U555" s="5" t="s">
        <v>30</v>
      </c>
      <c r="W555" s="5" t="s">
        <v>38</v>
      </c>
      <c r="Z555" s="7" t="s">
        <v>1729</v>
      </c>
    </row>
    <row r="556" spans="1:26" x14ac:dyDescent="0.25">
      <c r="A556" s="7" t="s">
        <v>1669</v>
      </c>
      <c r="B556" s="7" t="s">
        <v>1071</v>
      </c>
      <c r="C556" s="5" t="s">
        <v>12</v>
      </c>
      <c r="D556" s="4" t="s">
        <v>14</v>
      </c>
      <c r="E556" s="5" t="s">
        <v>24</v>
      </c>
      <c r="F556" s="4" t="s">
        <v>799</v>
      </c>
      <c r="G556" s="9" t="s">
        <v>51</v>
      </c>
      <c r="H556" s="32">
        <v>45233</v>
      </c>
      <c r="I556" s="33">
        <v>45258</v>
      </c>
      <c r="J556" s="4" t="s">
        <v>102</v>
      </c>
      <c r="K556" s="6">
        <v>45336</v>
      </c>
      <c r="N556" s="4" t="s">
        <v>73</v>
      </c>
      <c r="O556" s="6">
        <v>45199</v>
      </c>
      <c r="Q556" s="9">
        <f ca="1">IF(P556="",TODAY()-O556,P556-O556)</f>
        <v>370</v>
      </c>
      <c r="S556" s="5" t="s">
        <v>26</v>
      </c>
      <c r="T556" s="4" t="s">
        <v>1693</v>
      </c>
      <c r="U556" s="5" t="s">
        <v>29</v>
      </c>
      <c r="V556" s="4">
        <v>1008</v>
      </c>
      <c r="W556" s="5" t="s">
        <v>39</v>
      </c>
      <c r="X556" s="38" t="s">
        <v>1939</v>
      </c>
      <c r="Y556" s="44">
        <v>45258</v>
      </c>
      <c r="Z556" s="7" t="s">
        <v>2817</v>
      </c>
    </row>
    <row r="557" spans="1:26" x14ac:dyDescent="0.25">
      <c r="A557" s="7" t="s">
        <v>1458</v>
      </c>
      <c r="B557" s="7" t="s">
        <v>1071</v>
      </c>
      <c r="C557" s="5" t="s">
        <v>12</v>
      </c>
      <c r="D557" s="4" t="s">
        <v>16</v>
      </c>
      <c r="E557" s="5" t="s">
        <v>23</v>
      </c>
      <c r="F557" s="4" t="s">
        <v>591</v>
      </c>
      <c r="K557" s="6">
        <v>45201</v>
      </c>
      <c r="L557" s="56"/>
      <c r="M557" s="56"/>
      <c r="N557" s="4" t="s">
        <v>73</v>
      </c>
      <c r="O557" s="6">
        <v>45200</v>
      </c>
      <c r="Q557" s="9">
        <f ca="1">IF(P557="",TODAY()-O557,P557-O557)</f>
        <v>369</v>
      </c>
      <c r="S557" s="5" t="s">
        <v>631</v>
      </c>
      <c r="T557" s="4" t="s">
        <v>1460</v>
      </c>
      <c r="U557" s="5" t="s">
        <v>29</v>
      </c>
      <c r="V557" s="4">
        <v>1002</v>
      </c>
      <c r="W557" s="5" t="s">
        <v>1460</v>
      </c>
      <c r="Z557" s="7" t="s">
        <v>1681</v>
      </c>
    </row>
    <row r="558" spans="1:26" x14ac:dyDescent="0.25">
      <c r="A558" s="7" t="s">
        <v>1682</v>
      </c>
      <c r="B558" s="7" t="s">
        <v>1071</v>
      </c>
      <c r="C558" s="5" t="s">
        <v>12</v>
      </c>
      <c r="D558" s="4" t="s">
        <v>16</v>
      </c>
      <c r="E558" s="5" t="s">
        <v>24</v>
      </c>
      <c r="F558" s="4" t="s">
        <v>2051</v>
      </c>
      <c r="G558" s="9" t="s">
        <v>51</v>
      </c>
      <c r="H558" s="32">
        <v>45296</v>
      </c>
      <c r="I558" s="33">
        <v>45317</v>
      </c>
      <c r="J558" s="4" t="s">
        <v>101</v>
      </c>
      <c r="K558" s="6">
        <v>45322</v>
      </c>
      <c r="L558" s="7" t="s">
        <v>2016</v>
      </c>
      <c r="M558" s="7" t="s">
        <v>2016</v>
      </c>
      <c r="N558" s="4" t="s">
        <v>73</v>
      </c>
      <c r="O558" s="6">
        <v>45200</v>
      </c>
      <c r="P558" s="11">
        <v>45357</v>
      </c>
      <c r="Q558" s="9">
        <f ca="1">IF(P558="",TODAY()-O558,P558-O558)</f>
        <v>157</v>
      </c>
      <c r="R558" s="4" t="s">
        <v>41</v>
      </c>
      <c r="S558" s="5" t="s">
        <v>26</v>
      </c>
      <c r="T558" s="4" t="s">
        <v>112</v>
      </c>
      <c r="U558" s="5" t="s">
        <v>31</v>
      </c>
      <c r="V558" s="4">
        <v>1011</v>
      </c>
      <c r="W558" s="5" t="s">
        <v>38</v>
      </c>
      <c r="X558" s="38" t="s">
        <v>2049</v>
      </c>
      <c r="Y558" s="44">
        <v>45322</v>
      </c>
      <c r="Z558" s="7" t="s">
        <v>2054</v>
      </c>
    </row>
    <row r="559" spans="1:26" x14ac:dyDescent="0.25">
      <c r="A559" s="7" t="s">
        <v>1683</v>
      </c>
      <c r="B559" s="7" t="s">
        <v>1071</v>
      </c>
      <c r="C559" s="5" t="s">
        <v>620</v>
      </c>
      <c r="D559" s="4" t="s">
        <v>16</v>
      </c>
      <c r="E559" s="5" t="s">
        <v>25</v>
      </c>
      <c r="F559" s="4" t="s">
        <v>2051</v>
      </c>
      <c r="G559" s="9" t="s">
        <v>51</v>
      </c>
      <c r="H559" s="32">
        <v>45296</v>
      </c>
      <c r="I559" s="33">
        <v>45317</v>
      </c>
      <c r="J559" s="4" t="s">
        <v>101</v>
      </c>
      <c r="K559" s="6">
        <v>45341</v>
      </c>
      <c r="L559" s="7" t="s">
        <v>2016</v>
      </c>
      <c r="M559" s="7" t="s">
        <v>2016</v>
      </c>
      <c r="N559" s="4" t="s">
        <v>73</v>
      </c>
      <c r="O559" s="6">
        <v>45200</v>
      </c>
      <c r="Q559" s="9">
        <f ca="1">IF(P559="",TODAY()-O559,P559-O559)</f>
        <v>369</v>
      </c>
      <c r="S559" s="5" t="s">
        <v>26</v>
      </c>
      <c r="T559" s="4" t="s">
        <v>112</v>
      </c>
      <c r="U559" s="5" t="s">
        <v>31</v>
      </c>
      <c r="V559" s="4">
        <v>1012</v>
      </c>
      <c r="W559" s="5" t="s">
        <v>38</v>
      </c>
      <c r="X559" s="38" t="s">
        <v>2052</v>
      </c>
      <c r="Y559" s="44">
        <v>45341</v>
      </c>
      <c r="Z559" s="7" t="s">
        <v>2053</v>
      </c>
    </row>
    <row r="560" spans="1:26" ht="14.25" customHeight="1" x14ac:dyDescent="0.25">
      <c r="A560" s="7" t="s">
        <v>1684</v>
      </c>
      <c r="B560" s="7" t="s">
        <v>1071</v>
      </c>
      <c r="C560" s="5" t="s">
        <v>12</v>
      </c>
      <c r="D560" s="4" t="s">
        <v>16</v>
      </c>
      <c r="E560" s="5" t="s">
        <v>22</v>
      </c>
      <c r="F560" s="4" t="s">
        <v>2051</v>
      </c>
      <c r="H560" s="32"/>
      <c r="N560" s="4" t="s">
        <v>73</v>
      </c>
      <c r="O560" s="6">
        <v>45200</v>
      </c>
      <c r="P560" s="11">
        <v>45261</v>
      </c>
      <c r="Q560" s="9">
        <f ca="1">IF(P560="",TODAY()-O560,P560-O560)</f>
        <v>61</v>
      </c>
      <c r="R560" s="4" t="s">
        <v>43</v>
      </c>
      <c r="S560" s="5" t="s">
        <v>26</v>
      </c>
      <c r="T560" s="4" t="s">
        <v>112</v>
      </c>
      <c r="U560" s="5" t="s">
        <v>29</v>
      </c>
      <c r="V560" s="4">
        <v>1013</v>
      </c>
      <c r="W560" s="5" t="s">
        <v>38</v>
      </c>
      <c r="Z560" s="7" t="s">
        <v>2050</v>
      </c>
    </row>
    <row r="561" spans="1:26" x14ac:dyDescent="0.25">
      <c r="A561" s="7" t="s">
        <v>2003</v>
      </c>
      <c r="B561" s="7" t="s">
        <v>1071</v>
      </c>
      <c r="C561" s="5" t="s">
        <v>12</v>
      </c>
      <c r="D561" s="4" t="s">
        <v>16</v>
      </c>
      <c r="E561" s="5" t="s">
        <v>25</v>
      </c>
      <c r="F561" s="4" t="s">
        <v>384</v>
      </c>
      <c r="K561" s="6">
        <v>45299</v>
      </c>
      <c r="L561" s="56"/>
      <c r="M561" s="56"/>
      <c r="N561" s="4" t="s">
        <v>73</v>
      </c>
      <c r="O561" s="6">
        <v>45200</v>
      </c>
      <c r="Q561" s="9">
        <f ca="1">IF(P561="",TODAY()-O561,P561-O561)</f>
        <v>369</v>
      </c>
      <c r="S561" s="5" t="s">
        <v>631</v>
      </c>
      <c r="T561" s="4" t="s">
        <v>38</v>
      </c>
      <c r="U561" s="5" t="s">
        <v>30</v>
      </c>
      <c r="W561" s="5" t="s">
        <v>38</v>
      </c>
      <c r="Z561" s="7" t="s">
        <v>2004</v>
      </c>
    </row>
    <row r="562" spans="1:26" x14ac:dyDescent="0.25">
      <c r="A562" s="7" t="s">
        <v>1706</v>
      </c>
      <c r="B562" s="7" t="s">
        <v>1071</v>
      </c>
      <c r="C562" s="5" t="s">
        <v>12</v>
      </c>
      <c r="D562" s="4" t="s">
        <v>15</v>
      </c>
      <c r="E562" s="5" t="s">
        <v>23</v>
      </c>
      <c r="F562" s="4" t="s">
        <v>609</v>
      </c>
      <c r="G562" s="9" t="s">
        <v>50</v>
      </c>
      <c r="H562" s="32">
        <v>45201</v>
      </c>
      <c r="N562" s="4" t="s">
        <v>73</v>
      </c>
      <c r="O562" s="6">
        <v>45201</v>
      </c>
      <c r="Q562" s="9">
        <f ca="1">IF(P562="",TODAY()-O562,P562-O562)</f>
        <v>368</v>
      </c>
      <c r="S562" s="5" t="s">
        <v>27</v>
      </c>
      <c r="U562" s="5" t="s">
        <v>29</v>
      </c>
      <c r="V562" s="4">
        <v>1009</v>
      </c>
      <c r="W562" s="5" t="s">
        <v>39</v>
      </c>
      <c r="Z562" s="7" t="s">
        <v>1707</v>
      </c>
    </row>
    <row r="563" spans="1:26" x14ac:dyDescent="0.25">
      <c r="A563" s="7" t="s">
        <v>1722</v>
      </c>
      <c r="B563" s="7" t="s">
        <v>1071</v>
      </c>
      <c r="C563" s="5" t="s">
        <v>12</v>
      </c>
      <c r="D563" s="4" t="s">
        <v>20</v>
      </c>
      <c r="E563" s="5" t="s">
        <v>22</v>
      </c>
      <c r="F563" s="4" t="s">
        <v>384</v>
      </c>
      <c r="H563" s="32"/>
      <c r="N563" s="4" t="s">
        <v>9</v>
      </c>
      <c r="O563" s="6">
        <v>45203</v>
      </c>
      <c r="P563" s="11"/>
      <c r="Q563" s="9">
        <f ca="1">IF(P563="",TODAY()-O563,P563-O563)</f>
        <v>366</v>
      </c>
      <c r="R563" s="4" t="s">
        <v>42</v>
      </c>
      <c r="S563" s="5" t="s">
        <v>631</v>
      </c>
      <c r="U563" s="5" t="s">
        <v>33</v>
      </c>
      <c r="W563" s="5" t="s">
        <v>112</v>
      </c>
      <c r="Z563" s="7" t="s">
        <v>1723</v>
      </c>
    </row>
    <row r="564" spans="1:26" x14ac:dyDescent="0.25">
      <c r="A564" s="7" t="s">
        <v>1724</v>
      </c>
      <c r="B564" s="7" t="s">
        <v>1071</v>
      </c>
      <c r="C564" s="5" t="s">
        <v>12</v>
      </c>
      <c r="D564" s="4" t="s">
        <v>16</v>
      </c>
      <c r="E564" s="5" t="s">
        <v>25</v>
      </c>
      <c r="F564" s="4" t="s">
        <v>384</v>
      </c>
      <c r="H564" s="32"/>
      <c r="K564" s="6">
        <v>45203</v>
      </c>
      <c r="L564" s="56"/>
      <c r="M564" s="56"/>
      <c r="N564" s="4" t="s">
        <v>73</v>
      </c>
      <c r="O564" s="6">
        <v>45203</v>
      </c>
      <c r="P564" s="11">
        <v>45207</v>
      </c>
      <c r="Q564" s="9">
        <f ca="1">IF(P564="",TODAY()-O564,P564-O564)</f>
        <v>4</v>
      </c>
      <c r="R564" s="4" t="s">
        <v>896</v>
      </c>
      <c r="S564" s="5" t="s">
        <v>631</v>
      </c>
      <c r="T564" s="4" t="s">
        <v>112</v>
      </c>
      <c r="U564" s="5" t="s">
        <v>33</v>
      </c>
      <c r="W564" s="5" t="s">
        <v>112</v>
      </c>
      <c r="Z564" s="7" t="s">
        <v>1731</v>
      </c>
    </row>
    <row r="565" spans="1:26" x14ac:dyDescent="0.25">
      <c r="A565" s="7" t="s">
        <v>1709</v>
      </c>
      <c r="B565" s="7" t="s">
        <v>1071</v>
      </c>
      <c r="C565" s="5" t="s">
        <v>12</v>
      </c>
      <c r="D565" s="4" t="s">
        <v>17</v>
      </c>
      <c r="F565" s="4" t="s">
        <v>943</v>
      </c>
      <c r="N565" s="4" t="s">
        <v>73</v>
      </c>
      <c r="O565" s="6">
        <v>45204</v>
      </c>
      <c r="P565" s="11">
        <v>45214</v>
      </c>
      <c r="Q565" s="9">
        <f ca="1">IF(P565="",TODAY()-O565,P565-O565)</f>
        <v>10</v>
      </c>
      <c r="R565" s="4" t="s">
        <v>43</v>
      </c>
      <c r="S565" s="5" t="s">
        <v>26</v>
      </c>
      <c r="T565" s="4" t="s">
        <v>38</v>
      </c>
      <c r="U565" s="5" t="s">
        <v>29</v>
      </c>
      <c r="W565" s="5" t="s">
        <v>39</v>
      </c>
      <c r="Z565" s="7" t="s">
        <v>1712</v>
      </c>
    </row>
    <row r="566" spans="1:26" x14ac:dyDescent="0.25">
      <c r="A566" s="7" t="s">
        <v>1710</v>
      </c>
      <c r="B566" s="7" t="s">
        <v>1071</v>
      </c>
      <c r="C566" s="5" t="s">
        <v>12</v>
      </c>
      <c r="D566" s="4" t="s">
        <v>17</v>
      </c>
      <c r="F566" s="4" t="s">
        <v>943</v>
      </c>
      <c r="N566" s="4" t="s">
        <v>73</v>
      </c>
      <c r="O566" s="6">
        <v>45204</v>
      </c>
      <c r="Q566" s="9">
        <f ca="1">IF(P566="",TODAY()-O566,P566-O566)</f>
        <v>365</v>
      </c>
      <c r="S566" s="5" t="s">
        <v>26</v>
      </c>
      <c r="T566" s="4" t="s">
        <v>38</v>
      </c>
      <c r="U566" s="5" t="s">
        <v>29</v>
      </c>
      <c r="W566" s="5" t="s">
        <v>39</v>
      </c>
      <c r="Z566" s="7" t="s">
        <v>1944</v>
      </c>
    </row>
    <row r="567" spans="1:26" x14ac:dyDescent="0.25">
      <c r="A567" s="7" t="s">
        <v>1711</v>
      </c>
      <c r="B567" s="7" t="s">
        <v>1071</v>
      </c>
      <c r="C567" s="5" t="s">
        <v>12</v>
      </c>
      <c r="D567" s="4" t="s">
        <v>17</v>
      </c>
      <c r="E567" s="5" t="s">
        <v>24</v>
      </c>
      <c r="F567" s="4" t="s">
        <v>943</v>
      </c>
      <c r="G567" s="9" t="s">
        <v>51</v>
      </c>
      <c r="H567" s="32">
        <v>45348</v>
      </c>
      <c r="I567" s="33">
        <v>45371</v>
      </c>
      <c r="J567" s="4" t="s">
        <v>101</v>
      </c>
      <c r="K567" s="6">
        <v>45348</v>
      </c>
      <c r="N567" s="4" t="s">
        <v>73</v>
      </c>
      <c r="O567" s="6">
        <v>45204</v>
      </c>
      <c r="P567" s="11">
        <v>45451</v>
      </c>
      <c r="Q567" s="9">
        <f ca="1">IF(P567="",TODAY()-O567,P567-O567)</f>
        <v>247</v>
      </c>
      <c r="R567" s="4" t="s">
        <v>41</v>
      </c>
      <c r="S567" s="5" t="s">
        <v>26</v>
      </c>
      <c r="T567" s="4" t="s">
        <v>38</v>
      </c>
      <c r="U567" s="5" t="s">
        <v>31</v>
      </c>
      <c r="W567" s="5" t="s">
        <v>39</v>
      </c>
      <c r="X567" s="38" t="s">
        <v>2301</v>
      </c>
      <c r="Y567" s="44">
        <v>45348</v>
      </c>
      <c r="Z567" s="7" t="s">
        <v>2302</v>
      </c>
    </row>
    <row r="568" spans="1:26" x14ac:dyDescent="0.25">
      <c r="A568" s="7" t="s">
        <v>2005</v>
      </c>
      <c r="B568" s="7" t="s">
        <v>1071</v>
      </c>
      <c r="C568" s="5" t="s">
        <v>12</v>
      </c>
      <c r="F568" s="4" t="s">
        <v>2012</v>
      </c>
      <c r="N568" s="4" t="s">
        <v>73</v>
      </c>
      <c r="O568" s="6">
        <v>45204</v>
      </c>
      <c r="P568" s="11">
        <v>45239</v>
      </c>
      <c r="Q568" s="9">
        <f ca="1">IF(P568="",TODAY()-O568,P568-O568)</f>
        <v>35</v>
      </c>
      <c r="R568" s="4" t="s">
        <v>43</v>
      </c>
      <c r="S568" s="5" t="s">
        <v>631</v>
      </c>
      <c r="T568" s="4" t="s">
        <v>38</v>
      </c>
      <c r="U568" s="5" t="s">
        <v>30</v>
      </c>
      <c r="W568" s="5" t="s">
        <v>38</v>
      </c>
    </row>
    <row r="569" spans="1:26" x14ac:dyDescent="0.25">
      <c r="A569" s="7" t="s">
        <v>2006</v>
      </c>
      <c r="B569" s="7" t="s">
        <v>1071</v>
      </c>
      <c r="C569" s="5" t="s">
        <v>12</v>
      </c>
      <c r="F569" s="4" t="s">
        <v>2012</v>
      </c>
      <c r="N569" s="4" t="s">
        <v>73</v>
      </c>
      <c r="O569" s="6">
        <v>45204</v>
      </c>
      <c r="P569" s="11">
        <v>45246</v>
      </c>
      <c r="Q569" s="9">
        <f ca="1">IF(P569="",TODAY()-O569,P569-O569)</f>
        <v>42</v>
      </c>
      <c r="R569" s="4" t="s">
        <v>43</v>
      </c>
      <c r="S569" s="5" t="s">
        <v>631</v>
      </c>
      <c r="T569" s="4" t="s">
        <v>38</v>
      </c>
      <c r="U569" s="5" t="s">
        <v>30</v>
      </c>
      <c r="W569" s="5" t="s">
        <v>38</v>
      </c>
    </row>
    <row r="570" spans="1:26" x14ac:dyDescent="0.25">
      <c r="A570" s="7" t="s">
        <v>2007</v>
      </c>
      <c r="B570" s="7" t="s">
        <v>1071</v>
      </c>
      <c r="C570" s="5" t="s">
        <v>12</v>
      </c>
      <c r="F570" s="4" t="s">
        <v>2012</v>
      </c>
      <c r="N570" s="4" t="s">
        <v>73</v>
      </c>
      <c r="O570" s="6">
        <v>45204</v>
      </c>
      <c r="P570" s="11">
        <v>45249</v>
      </c>
      <c r="Q570" s="9">
        <f ca="1">IF(P570="",TODAY()-O570,P570-O570)</f>
        <v>45</v>
      </c>
      <c r="R570" s="4" t="s">
        <v>43</v>
      </c>
      <c r="S570" s="5" t="s">
        <v>631</v>
      </c>
      <c r="T570" s="4" t="s">
        <v>38</v>
      </c>
      <c r="U570" s="5" t="s">
        <v>30</v>
      </c>
      <c r="W570" s="5" t="s">
        <v>38</v>
      </c>
    </row>
    <row r="571" spans="1:26" x14ac:dyDescent="0.25">
      <c r="A571" s="7" t="s">
        <v>2008</v>
      </c>
      <c r="B571" s="7" t="s">
        <v>1071</v>
      </c>
      <c r="C571" s="5" t="s">
        <v>12</v>
      </c>
      <c r="F571" s="4" t="s">
        <v>2012</v>
      </c>
      <c r="N571" s="4" t="s">
        <v>73</v>
      </c>
      <c r="O571" s="6">
        <v>45204</v>
      </c>
      <c r="P571" s="11">
        <v>45263</v>
      </c>
      <c r="Q571" s="9">
        <f ca="1">IF(P571="",TODAY()-O571,P571-O571)</f>
        <v>59</v>
      </c>
      <c r="R571" s="4" t="s">
        <v>43</v>
      </c>
      <c r="S571" s="5" t="s">
        <v>631</v>
      </c>
      <c r="T571" s="4" t="s">
        <v>38</v>
      </c>
      <c r="U571" s="5" t="s">
        <v>30</v>
      </c>
      <c r="W571" s="5" t="s">
        <v>38</v>
      </c>
    </row>
    <row r="572" spans="1:26" x14ac:dyDescent="0.25">
      <c r="A572" s="7" t="s">
        <v>2009</v>
      </c>
      <c r="B572" s="7" t="s">
        <v>1071</v>
      </c>
      <c r="C572" s="5" t="s">
        <v>12</v>
      </c>
      <c r="F572" s="4" t="s">
        <v>2012</v>
      </c>
      <c r="N572" s="4" t="s">
        <v>73</v>
      </c>
      <c r="O572" s="6">
        <v>45204</v>
      </c>
      <c r="P572" s="11">
        <v>45264</v>
      </c>
      <c r="Q572" s="9">
        <f ca="1">IF(P572="",TODAY()-O572,P572-O572)</f>
        <v>60</v>
      </c>
      <c r="R572" s="4" t="s">
        <v>42</v>
      </c>
      <c r="S572" s="5" t="s">
        <v>631</v>
      </c>
      <c r="T572" s="4" t="s">
        <v>38</v>
      </c>
      <c r="U572" s="5" t="s">
        <v>30</v>
      </c>
      <c r="W572" s="5" t="s">
        <v>38</v>
      </c>
    </row>
    <row r="573" spans="1:26" x14ac:dyDescent="0.25">
      <c r="A573" s="7" t="s">
        <v>2010</v>
      </c>
      <c r="B573" s="7" t="s">
        <v>1071</v>
      </c>
      <c r="C573" s="5" t="s">
        <v>12</v>
      </c>
      <c r="F573" s="4" t="s">
        <v>2012</v>
      </c>
      <c r="N573" s="4" t="s">
        <v>73</v>
      </c>
      <c r="O573" s="6">
        <v>45204</v>
      </c>
      <c r="P573" s="11">
        <v>45265</v>
      </c>
      <c r="Q573" s="9">
        <f ca="1">IF(P573="",TODAY()-O573,P573-O573)</f>
        <v>61</v>
      </c>
      <c r="R573" s="4" t="s">
        <v>43</v>
      </c>
      <c r="S573" s="5" t="s">
        <v>631</v>
      </c>
      <c r="T573" s="4" t="s">
        <v>38</v>
      </c>
      <c r="U573" s="5" t="s">
        <v>30</v>
      </c>
      <c r="W573" s="5" t="s">
        <v>38</v>
      </c>
      <c r="Z573" s="7" t="s">
        <v>2013</v>
      </c>
    </row>
    <row r="574" spans="1:26" x14ac:dyDescent="0.25">
      <c r="A574" s="7" t="s">
        <v>2011</v>
      </c>
      <c r="B574" s="7" t="s">
        <v>1071</v>
      </c>
      <c r="C574" s="5" t="s">
        <v>12</v>
      </c>
      <c r="F574" s="4" t="s">
        <v>2012</v>
      </c>
      <c r="N574" s="4" t="s">
        <v>73</v>
      </c>
      <c r="O574" s="6">
        <v>45204</v>
      </c>
      <c r="P574" s="11">
        <v>45266</v>
      </c>
      <c r="Q574" s="9">
        <f ca="1">IF(P574="",TODAY()-O574,P574-O574)</f>
        <v>62</v>
      </c>
      <c r="R574" s="4" t="s">
        <v>42</v>
      </c>
      <c r="S574" s="5" t="s">
        <v>631</v>
      </c>
      <c r="T574" s="4" t="s">
        <v>38</v>
      </c>
      <c r="U574" s="5" t="s">
        <v>30</v>
      </c>
      <c r="W574" s="5" t="s">
        <v>38</v>
      </c>
      <c r="Z574" s="7" t="s">
        <v>2013</v>
      </c>
    </row>
    <row r="575" spans="1:26" x14ac:dyDescent="0.25">
      <c r="A575" s="7" t="s">
        <v>1738</v>
      </c>
      <c r="B575" s="7" t="s">
        <v>1071</v>
      </c>
      <c r="C575" s="5" t="s">
        <v>12</v>
      </c>
      <c r="D575" s="4" t="s">
        <v>20</v>
      </c>
      <c r="F575" s="4" t="s">
        <v>547</v>
      </c>
      <c r="N575" s="4" t="s">
        <v>73</v>
      </c>
      <c r="O575" s="6">
        <v>45205</v>
      </c>
      <c r="Q575" s="9">
        <f ca="1">IF(P575="",TODAY()-O575,P575-O575)</f>
        <v>364</v>
      </c>
      <c r="S575" s="5" t="s">
        <v>26</v>
      </c>
      <c r="T575" s="4" t="s">
        <v>38</v>
      </c>
      <c r="U575" s="5" t="s">
        <v>30</v>
      </c>
      <c r="Z575" s="7" t="s">
        <v>1944</v>
      </c>
    </row>
    <row r="576" spans="1:26" x14ac:dyDescent="0.25">
      <c r="A576" s="7" t="s">
        <v>1713</v>
      </c>
      <c r="B576" s="7" t="s">
        <v>1071</v>
      </c>
      <c r="C576" s="5" t="s">
        <v>12</v>
      </c>
      <c r="D576" s="4" t="s">
        <v>20</v>
      </c>
      <c r="E576" s="5" t="s">
        <v>23</v>
      </c>
      <c r="F576" s="4" t="s">
        <v>384</v>
      </c>
      <c r="N576" s="4" t="s">
        <v>9</v>
      </c>
      <c r="O576" s="6">
        <v>45207</v>
      </c>
      <c r="P576" s="11">
        <v>45207</v>
      </c>
      <c r="Q576" s="9">
        <f ca="1">IF(P576="",TODAY()-O576,P576-O576)</f>
        <v>0</v>
      </c>
      <c r="R576" s="4" t="s">
        <v>2039</v>
      </c>
      <c r="S576" s="5" t="s">
        <v>631</v>
      </c>
      <c r="U576" s="5" t="s">
        <v>29</v>
      </c>
      <c r="V576" s="4">
        <v>1015</v>
      </c>
      <c r="W576" s="5" t="s">
        <v>1460</v>
      </c>
      <c r="Z576" s="7" t="s">
        <v>1714</v>
      </c>
    </row>
    <row r="577" spans="1:26" ht="15.75" customHeight="1" x14ac:dyDescent="0.25">
      <c r="A577" s="7" t="s">
        <v>1716</v>
      </c>
      <c r="B577" s="7" t="s">
        <v>1071</v>
      </c>
      <c r="C577" s="5" t="s">
        <v>12</v>
      </c>
      <c r="D577" s="4" t="s">
        <v>15</v>
      </c>
      <c r="E577" s="5" t="s">
        <v>23</v>
      </c>
      <c r="F577" s="4" t="s">
        <v>384</v>
      </c>
      <c r="L577" s="7" t="s">
        <v>2017</v>
      </c>
      <c r="M577" s="7" t="s">
        <v>2017</v>
      </c>
      <c r="N577" s="4" t="s">
        <v>9</v>
      </c>
      <c r="O577" s="6">
        <v>45209</v>
      </c>
      <c r="P577" s="11">
        <v>45209</v>
      </c>
      <c r="Q577" s="9">
        <f ca="1">IF(P577="",TODAY()-O577,P577-O577)</f>
        <v>0</v>
      </c>
      <c r="R577" s="4" t="s">
        <v>42</v>
      </c>
      <c r="S577" s="5" t="s">
        <v>631</v>
      </c>
      <c r="U577" s="5" t="s">
        <v>31</v>
      </c>
      <c r="W577" s="5" t="s">
        <v>112</v>
      </c>
      <c r="Z577" s="7" t="s">
        <v>1717</v>
      </c>
    </row>
    <row r="578" spans="1:26" x14ac:dyDescent="0.25">
      <c r="A578" s="7" t="s">
        <v>1718</v>
      </c>
      <c r="B578" s="7" t="s">
        <v>1071</v>
      </c>
      <c r="C578" s="5" t="s">
        <v>12</v>
      </c>
      <c r="D578" s="4" t="s">
        <v>311</v>
      </c>
      <c r="E578" s="5" t="s">
        <v>23</v>
      </c>
      <c r="F578" s="4" t="s">
        <v>571</v>
      </c>
      <c r="G578" s="9" t="s">
        <v>50</v>
      </c>
      <c r="H578" s="32">
        <v>45210</v>
      </c>
      <c r="J578" s="4" t="s">
        <v>102</v>
      </c>
      <c r="N578" s="4" t="s">
        <v>73</v>
      </c>
      <c r="O578" s="6">
        <v>45209</v>
      </c>
      <c r="Q578" s="9">
        <f ca="1">IF(P578="",TODAY()-O578,P578-O578)</f>
        <v>360</v>
      </c>
      <c r="S578" s="5" t="s">
        <v>26</v>
      </c>
      <c r="T578" s="4" t="s">
        <v>809</v>
      </c>
      <c r="U578" s="5" t="s">
        <v>30</v>
      </c>
      <c r="W578" s="5" t="s">
        <v>39</v>
      </c>
      <c r="Z578" s="7" t="s">
        <v>1719</v>
      </c>
    </row>
    <row r="579" spans="1:26" x14ac:dyDescent="0.25">
      <c r="A579" s="7" t="s">
        <v>1720</v>
      </c>
      <c r="B579" s="7" t="s">
        <v>1071</v>
      </c>
      <c r="C579" s="5" t="s">
        <v>12</v>
      </c>
      <c r="D579" s="4" t="s">
        <v>17</v>
      </c>
      <c r="E579" s="5" t="s">
        <v>23</v>
      </c>
      <c r="F579" s="4" t="s">
        <v>384</v>
      </c>
      <c r="O579" s="6">
        <v>45209</v>
      </c>
      <c r="P579" s="11">
        <v>45210</v>
      </c>
      <c r="Q579" s="9">
        <f ca="1">IF(P579="",TODAY()-O579,P579-O579)</f>
        <v>1</v>
      </c>
      <c r="R579" s="4" t="s">
        <v>42</v>
      </c>
      <c r="S579" s="5" t="s">
        <v>631</v>
      </c>
      <c r="U579" s="5" t="s">
        <v>30</v>
      </c>
      <c r="W579" s="5" t="s">
        <v>39</v>
      </c>
      <c r="Z579" s="7" t="s">
        <v>1721</v>
      </c>
    </row>
    <row r="580" spans="1:26" x14ac:dyDescent="0.25">
      <c r="A580" s="7" t="s">
        <v>1715</v>
      </c>
      <c r="B580" s="7" t="s">
        <v>1071</v>
      </c>
      <c r="C580" s="5" t="s">
        <v>12</v>
      </c>
      <c r="D580" s="4" t="s">
        <v>15</v>
      </c>
      <c r="E580" s="5" t="s">
        <v>23</v>
      </c>
      <c r="F580" s="4" t="s">
        <v>384</v>
      </c>
      <c r="O580" s="6">
        <v>45211</v>
      </c>
      <c r="Q580" s="9">
        <f ca="1">IF(P580="",TODAY()-O580,P580-O580)</f>
        <v>358</v>
      </c>
      <c r="S580" s="5" t="s">
        <v>631</v>
      </c>
      <c r="U580" s="5" t="s">
        <v>29</v>
      </c>
      <c r="V580" s="4">
        <v>1016</v>
      </c>
      <c r="W580" s="5" t="s">
        <v>1460</v>
      </c>
    </row>
    <row r="581" spans="1:26" x14ac:dyDescent="0.25">
      <c r="A581" s="7" t="s">
        <v>1730</v>
      </c>
      <c r="B581" s="7" t="s">
        <v>1071</v>
      </c>
      <c r="C581" s="5" t="s">
        <v>12</v>
      </c>
      <c r="D581" s="4" t="s">
        <v>713</v>
      </c>
      <c r="E581" s="5" t="s">
        <v>25</v>
      </c>
      <c r="F581" s="4" t="s">
        <v>384</v>
      </c>
      <c r="K581" s="6">
        <v>45211</v>
      </c>
      <c r="L581" s="56"/>
      <c r="M581" s="56"/>
      <c r="O581" s="6">
        <v>45211</v>
      </c>
      <c r="P581" s="11">
        <v>45211</v>
      </c>
      <c r="Q581" s="9">
        <f ca="1">IF(P581="",TODAY()-O581,P581-O581)</f>
        <v>0</v>
      </c>
      <c r="R581" s="4" t="s">
        <v>896</v>
      </c>
      <c r="S581" s="5" t="s">
        <v>631</v>
      </c>
      <c r="U581" s="5" t="s">
        <v>33</v>
      </c>
      <c r="W581" s="5" t="s">
        <v>112</v>
      </c>
      <c r="Z581" s="7" t="s">
        <v>1405</v>
      </c>
    </row>
    <row r="582" spans="1:26" x14ac:dyDescent="0.25">
      <c r="A582" s="7" t="s">
        <v>2081</v>
      </c>
      <c r="B582" s="7" t="s">
        <v>1071</v>
      </c>
      <c r="C582" s="5" t="s">
        <v>12</v>
      </c>
      <c r="D582" s="4" t="s">
        <v>311</v>
      </c>
      <c r="E582" s="5" t="s">
        <v>24</v>
      </c>
      <c r="F582" s="4" t="s">
        <v>2167</v>
      </c>
      <c r="G582" s="9" t="s">
        <v>51</v>
      </c>
      <c r="H582" s="32">
        <v>45301</v>
      </c>
      <c r="I582" s="33">
        <v>45350</v>
      </c>
      <c r="J582" s="4" t="s">
        <v>503</v>
      </c>
      <c r="K582" s="6">
        <v>45211</v>
      </c>
      <c r="L582" s="7" t="s">
        <v>2016</v>
      </c>
      <c r="M582" s="7" t="s">
        <v>2016</v>
      </c>
      <c r="N582" s="4" t="s">
        <v>73</v>
      </c>
      <c r="O582" s="6">
        <v>45211</v>
      </c>
      <c r="P582" s="11">
        <v>45381</v>
      </c>
      <c r="Q582" s="9">
        <f ca="1">IF(P582="",TODAY()-O582,P582-O582)</f>
        <v>170</v>
      </c>
      <c r="R582" s="4" t="s">
        <v>41</v>
      </c>
      <c r="S582" s="5" t="s">
        <v>1739</v>
      </c>
      <c r="T582" s="4" t="s">
        <v>38</v>
      </c>
      <c r="U582" s="5" t="s">
        <v>30</v>
      </c>
      <c r="W582" s="5" t="s">
        <v>38</v>
      </c>
      <c r="X582" s="38" t="s">
        <v>2123</v>
      </c>
      <c r="Y582" s="44">
        <v>45301</v>
      </c>
      <c r="Z582" s="7" t="s">
        <v>2107</v>
      </c>
    </row>
    <row r="583" spans="1:26" x14ac:dyDescent="0.25">
      <c r="A583" s="7" t="s">
        <v>1742</v>
      </c>
      <c r="B583" s="7" t="s">
        <v>1071</v>
      </c>
      <c r="C583" s="5" t="s">
        <v>12</v>
      </c>
      <c r="D583" s="4" t="s">
        <v>17</v>
      </c>
      <c r="E583" s="5" t="s">
        <v>25</v>
      </c>
      <c r="F583" s="4" t="s">
        <v>1743</v>
      </c>
      <c r="G583" s="9" t="s">
        <v>50</v>
      </c>
      <c r="H583" s="32">
        <v>45218</v>
      </c>
      <c r="I583" s="33">
        <v>45239</v>
      </c>
      <c r="J583" s="4" t="s">
        <v>101</v>
      </c>
      <c r="K583" s="6">
        <v>41286</v>
      </c>
      <c r="L583" s="56"/>
      <c r="M583" s="56"/>
      <c r="N583" s="4" t="s">
        <v>74</v>
      </c>
      <c r="O583" s="6">
        <v>45214</v>
      </c>
      <c r="P583" s="11">
        <v>45518</v>
      </c>
      <c r="Q583" s="9">
        <f ca="1">IF(P583="",TODAY()-O583,P583-O583)</f>
        <v>304</v>
      </c>
      <c r="R583" s="4" t="s">
        <v>42</v>
      </c>
      <c r="S583" s="5" t="s">
        <v>121</v>
      </c>
      <c r="T583" s="4" t="s">
        <v>2101</v>
      </c>
      <c r="U583" s="5" t="s">
        <v>32</v>
      </c>
      <c r="V583" s="4">
        <v>1020</v>
      </c>
      <c r="W583" s="5" t="s">
        <v>38</v>
      </c>
      <c r="X583" s="38" t="s">
        <v>1760</v>
      </c>
      <c r="Y583" s="44">
        <v>45218</v>
      </c>
      <c r="Z583" s="7" t="s">
        <v>1886</v>
      </c>
    </row>
    <row r="584" spans="1:26" x14ac:dyDescent="0.25">
      <c r="A584" s="7" t="s">
        <v>1799</v>
      </c>
      <c r="B584" s="7" t="s">
        <v>1071</v>
      </c>
      <c r="C584" s="5" t="s">
        <v>12</v>
      </c>
      <c r="D584" s="4" t="s">
        <v>1195</v>
      </c>
      <c r="E584" s="5" t="s">
        <v>25</v>
      </c>
      <c r="F584" s="4" t="s">
        <v>1733</v>
      </c>
      <c r="G584" s="9" t="s">
        <v>50</v>
      </c>
      <c r="H584" s="32">
        <v>45216</v>
      </c>
      <c r="J584" s="4" t="s">
        <v>101</v>
      </c>
      <c r="N584" s="4" t="s">
        <v>73</v>
      </c>
      <c r="O584" s="6">
        <v>45214</v>
      </c>
      <c r="Q584" s="9">
        <f ca="1">IF(P584="",TODAY()-O584,P584-O584)</f>
        <v>355</v>
      </c>
      <c r="S584" s="5" t="s">
        <v>26</v>
      </c>
      <c r="T584" s="4" t="s">
        <v>38</v>
      </c>
      <c r="U584" s="5" t="s">
        <v>29</v>
      </c>
      <c r="V584" s="4">
        <v>1019</v>
      </c>
      <c r="W584" s="5" t="s">
        <v>38</v>
      </c>
      <c r="X584" s="38" t="s">
        <v>2102</v>
      </c>
      <c r="Y584" s="44">
        <v>42627</v>
      </c>
      <c r="Z584" s="7" t="s">
        <v>2103</v>
      </c>
    </row>
    <row r="585" spans="1:26" x14ac:dyDescent="0.25">
      <c r="A585" s="7" t="s">
        <v>1837</v>
      </c>
      <c r="B585" s="7" t="s">
        <v>1071</v>
      </c>
      <c r="C585" s="5" t="s">
        <v>620</v>
      </c>
      <c r="D585" s="4" t="s">
        <v>17</v>
      </c>
      <c r="E585" s="5" t="s">
        <v>23</v>
      </c>
      <c r="F585" s="4" t="s">
        <v>2115</v>
      </c>
      <c r="G585" s="9" t="s">
        <v>51</v>
      </c>
      <c r="H585" s="32">
        <v>45259</v>
      </c>
      <c r="I585" s="33">
        <v>45257</v>
      </c>
      <c r="J585" s="4" t="s">
        <v>102</v>
      </c>
      <c r="K585" s="6">
        <v>45216</v>
      </c>
      <c r="N585" s="4" t="s">
        <v>73</v>
      </c>
      <c r="O585" s="6">
        <v>45215</v>
      </c>
      <c r="P585" s="11">
        <v>45359</v>
      </c>
      <c r="Q585" s="9">
        <f ca="1">IF(P585="",TODAY()-O585,P585-O585)</f>
        <v>144</v>
      </c>
      <c r="R585" s="4" t="s">
        <v>41</v>
      </c>
      <c r="S585" s="5" t="s">
        <v>1739</v>
      </c>
      <c r="T585" s="4" t="s">
        <v>1826</v>
      </c>
      <c r="U585" s="5" t="s">
        <v>29</v>
      </c>
      <c r="V585" s="4">
        <v>1017</v>
      </c>
      <c r="W585" s="5" t="s">
        <v>39</v>
      </c>
      <c r="X585" s="38" t="s">
        <v>2108</v>
      </c>
      <c r="Y585" s="44">
        <v>45216</v>
      </c>
      <c r="Z585" s="7" t="s">
        <v>2109</v>
      </c>
    </row>
    <row r="586" spans="1:26" x14ac:dyDescent="0.25">
      <c r="A586" s="7" t="s">
        <v>1740</v>
      </c>
      <c r="B586" s="7" t="s">
        <v>1071</v>
      </c>
      <c r="C586" s="5" t="s">
        <v>12</v>
      </c>
      <c r="D586" s="4" t="s">
        <v>16</v>
      </c>
      <c r="E586" s="5" t="s">
        <v>25</v>
      </c>
      <c r="F586" s="4" t="s">
        <v>384</v>
      </c>
      <c r="N586" s="4" t="s">
        <v>9</v>
      </c>
      <c r="O586" s="6">
        <v>45215</v>
      </c>
      <c r="P586" s="11">
        <v>45216</v>
      </c>
      <c r="Q586" s="9">
        <f ca="1">IF(P586="",TODAY()-O586,P586-O586)</f>
        <v>1</v>
      </c>
      <c r="R586" s="4" t="s">
        <v>42</v>
      </c>
      <c r="S586" s="5" t="s">
        <v>26</v>
      </c>
      <c r="U586" s="5" t="s">
        <v>29</v>
      </c>
      <c r="V586" s="4">
        <v>1018</v>
      </c>
      <c r="W586" s="5" t="s">
        <v>39</v>
      </c>
      <c r="Z586" s="7" t="s">
        <v>1741</v>
      </c>
    </row>
    <row r="587" spans="1:26" x14ac:dyDescent="0.25">
      <c r="A587" s="7" t="s">
        <v>1744</v>
      </c>
      <c r="B587" s="7" t="s">
        <v>1071</v>
      </c>
      <c r="F587" s="4" t="s">
        <v>384</v>
      </c>
      <c r="N587" s="4" t="s">
        <v>9</v>
      </c>
      <c r="O587" s="6">
        <v>45216</v>
      </c>
      <c r="Q587" s="9">
        <f ca="1">IF(P587="",TODAY()-O587,P587-O587)</f>
        <v>353</v>
      </c>
      <c r="S587" s="5" t="s">
        <v>631</v>
      </c>
      <c r="T587" s="4" t="s">
        <v>1019</v>
      </c>
      <c r="U587" s="5" t="s">
        <v>30</v>
      </c>
      <c r="W587" s="5" t="s">
        <v>38</v>
      </c>
      <c r="Z587" s="7" t="s">
        <v>1955</v>
      </c>
    </row>
    <row r="588" spans="1:26" x14ac:dyDescent="0.25">
      <c r="A588" s="7" t="s">
        <v>1745</v>
      </c>
      <c r="B588" s="7" t="s">
        <v>1071</v>
      </c>
      <c r="C588" s="5" t="s">
        <v>12</v>
      </c>
      <c r="D588" s="4" t="s">
        <v>17</v>
      </c>
      <c r="E588" s="5" t="s">
        <v>23</v>
      </c>
      <c r="F588" s="4" t="s">
        <v>384</v>
      </c>
      <c r="N588" s="4" t="s">
        <v>9</v>
      </c>
      <c r="O588" s="6">
        <v>45216</v>
      </c>
      <c r="P588" s="11">
        <v>45216</v>
      </c>
      <c r="Q588" s="9">
        <f ca="1">IF(P588="",TODAY()-O588,P588-O588)</f>
        <v>0</v>
      </c>
      <c r="R588" s="4" t="s">
        <v>42</v>
      </c>
      <c r="S588" s="5" t="s">
        <v>631</v>
      </c>
      <c r="U588" s="5" t="s">
        <v>30</v>
      </c>
      <c r="W588" s="5" t="s">
        <v>112</v>
      </c>
      <c r="Z588" s="7" t="s">
        <v>1746</v>
      </c>
    </row>
    <row r="589" spans="1:26" x14ac:dyDescent="0.25">
      <c r="A589" s="7" t="s">
        <v>1747</v>
      </c>
      <c r="B589" s="7" t="s">
        <v>1071</v>
      </c>
      <c r="C589" s="5" t="s">
        <v>12</v>
      </c>
      <c r="D589" s="4" t="s">
        <v>20</v>
      </c>
      <c r="E589" s="5" t="s">
        <v>23</v>
      </c>
      <c r="F589" s="4" t="s">
        <v>384</v>
      </c>
      <c r="N589" s="4" t="s">
        <v>9</v>
      </c>
      <c r="O589" s="6">
        <v>45216</v>
      </c>
      <c r="P589" s="11">
        <v>45216</v>
      </c>
      <c r="Q589" s="9">
        <f ca="1">IF(P589="",TODAY()-O589,P589-O589)</f>
        <v>0</v>
      </c>
      <c r="R589" s="4" t="s">
        <v>42</v>
      </c>
      <c r="S589" s="5" t="s">
        <v>631</v>
      </c>
      <c r="W589" s="5" t="s">
        <v>112</v>
      </c>
      <c r="Z589" s="7" t="s">
        <v>1746</v>
      </c>
    </row>
    <row r="590" spans="1:26" x14ac:dyDescent="0.25">
      <c r="A590" s="7" t="s">
        <v>2571</v>
      </c>
      <c r="B590" s="7" t="s">
        <v>1071</v>
      </c>
      <c r="C590" s="5" t="s">
        <v>12</v>
      </c>
      <c r="D590" s="4" t="s">
        <v>20</v>
      </c>
      <c r="E590" s="5" t="s">
        <v>24</v>
      </c>
      <c r="F590" s="4" t="s">
        <v>384</v>
      </c>
      <c r="K590" s="6">
        <v>45216</v>
      </c>
      <c r="L590" s="7" t="s">
        <v>2016</v>
      </c>
      <c r="M590" s="7" t="s">
        <v>2016</v>
      </c>
      <c r="O590" s="6">
        <v>45216</v>
      </c>
      <c r="P590" s="11">
        <v>45216</v>
      </c>
      <c r="R590" s="4" t="s">
        <v>2039</v>
      </c>
      <c r="S590" s="5" t="s">
        <v>631</v>
      </c>
      <c r="U590" s="5" t="s">
        <v>33</v>
      </c>
      <c r="W590" s="5" t="s">
        <v>112</v>
      </c>
    </row>
    <row r="591" spans="1:26" x14ac:dyDescent="0.25">
      <c r="A591" s="7" t="s">
        <v>1847</v>
      </c>
      <c r="B591" s="7" t="s">
        <v>1071</v>
      </c>
      <c r="C591" s="5" t="s">
        <v>620</v>
      </c>
      <c r="D591" s="4" t="s">
        <v>16</v>
      </c>
      <c r="E591" s="5" t="s">
        <v>25</v>
      </c>
      <c r="F591" s="4" t="s">
        <v>384</v>
      </c>
      <c r="G591" s="9" t="s">
        <v>51</v>
      </c>
      <c r="H591" s="32">
        <v>45278</v>
      </c>
      <c r="I591" s="33">
        <v>45302</v>
      </c>
      <c r="J591" s="4" t="s">
        <v>101</v>
      </c>
      <c r="K591" s="6">
        <v>45222</v>
      </c>
      <c r="L591" s="56"/>
      <c r="M591" s="56"/>
      <c r="N591" s="4" t="s">
        <v>73</v>
      </c>
      <c r="O591" s="6">
        <v>45219</v>
      </c>
      <c r="P591" s="11">
        <v>45305</v>
      </c>
      <c r="Q591" s="9">
        <f ca="1">IF(P591="",TODAY()-O591,P591-O591)</f>
        <v>86</v>
      </c>
      <c r="R591" s="4" t="s">
        <v>41</v>
      </c>
      <c r="S591" s="5" t="s">
        <v>26</v>
      </c>
      <c r="T591" s="4" t="s">
        <v>38</v>
      </c>
      <c r="U591" s="5" t="s">
        <v>30</v>
      </c>
      <c r="V591" s="4">
        <v>1039</v>
      </c>
      <c r="W591" s="5" t="s">
        <v>38</v>
      </c>
      <c r="X591" s="38" t="s">
        <v>1849</v>
      </c>
      <c r="Y591" s="44">
        <v>45222</v>
      </c>
      <c r="Z591" s="7" t="s">
        <v>1900</v>
      </c>
    </row>
    <row r="592" spans="1:26" x14ac:dyDescent="0.25">
      <c r="A592" s="7" t="s">
        <v>1848</v>
      </c>
      <c r="B592" s="7" t="s">
        <v>1071</v>
      </c>
      <c r="C592" s="5" t="s">
        <v>12</v>
      </c>
      <c r="N592" s="4" t="s">
        <v>73</v>
      </c>
      <c r="O592" s="6">
        <v>45219</v>
      </c>
      <c r="P592" s="11">
        <v>45220</v>
      </c>
      <c r="Q592" s="9">
        <f ca="1">IF(P592="",TODAY()-O592,P592-O592)</f>
        <v>1</v>
      </c>
      <c r="R592" s="4" t="s">
        <v>43</v>
      </c>
      <c r="S592" s="5" t="s">
        <v>26</v>
      </c>
      <c r="T592" s="4" t="s">
        <v>38</v>
      </c>
      <c r="Z592" s="7" t="s">
        <v>1956</v>
      </c>
    </row>
    <row r="593" spans="1:26" x14ac:dyDescent="0.25">
      <c r="A593" s="7" t="s">
        <v>1990</v>
      </c>
      <c r="B593" s="7" t="s">
        <v>1071</v>
      </c>
      <c r="C593" s="5" t="s">
        <v>12</v>
      </c>
      <c r="D593" s="4" t="s">
        <v>20</v>
      </c>
      <c r="E593" s="5" t="s">
        <v>22</v>
      </c>
      <c r="N593" s="4" t="s">
        <v>73</v>
      </c>
      <c r="O593" s="6">
        <v>45219</v>
      </c>
      <c r="P593" s="11">
        <v>45223</v>
      </c>
      <c r="Q593" s="9">
        <f ca="1">IF(P593="",TODAY()-O593,P593-O593)</f>
        <v>4</v>
      </c>
      <c r="R593" s="4" t="s">
        <v>43</v>
      </c>
      <c r="S593" s="5" t="s">
        <v>26</v>
      </c>
      <c r="T593" s="4" t="s">
        <v>38</v>
      </c>
      <c r="U593" s="5" t="s">
        <v>30</v>
      </c>
      <c r="W593" s="5" t="s">
        <v>38</v>
      </c>
      <c r="Z593" s="7" t="s">
        <v>1991</v>
      </c>
    </row>
    <row r="594" spans="1:26" x14ac:dyDescent="0.25">
      <c r="A594" s="7" t="s">
        <v>1992</v>
      </c>
      <c r="B594" s="7" t="s">
        <v>1071</v>
      </c>
      <c r="C594" s="5" t="s">
        <v>12</v>
      </c>
      <c r="D594" s="4" t="s">
        <v>16</v>
      </c>
      <c r="E594" s="5" t="s">
        <v>24</v>
      </c>
      <c r="F594" s="4" t="s">
        <v>2117</v>
      </c>
      <c r="G594" s="9" t="s">
        <v>51</v>
      </c>
      <c r="H594" s="32">
        <v>45307</v>
      </c>
      <c r="I594" s="33">
        <v>45334</v>
      </c>
      <c r="K594" s="6">
        <v>45334</v>
      </c>
      <c r="L594" s="56" t="s">
        <v>2016</v>
      </c>
      <c r="M594" s="56" t="s">
        <v>2016</v>
      </c>
      <c r="N594" s="4" t="s">
        <v>73</v>
      </c>
      <c r="O594" s="6">
        <v>45219</v>
      </c>
      <c r="P594" s="11">
        <v>45347</v>
      </c>
      <c r="Q594" s="9">
        <f ca="1">IF(P594="",TODAY()-O594,P594-O594)</f>
        <v>128</v>
      </c>
      <c r="R594" s="4" t="s">
        <v>41</v>
      </c>
      <c r="S594" s="5" t="s">
        <v>26</v>
      </c>
      <c r="T594" s="4" t="s">
        <v>38</v>
      </c>
      <c r="U594" s="5" t="s">
        <v>30</v>
      </c>
      <c r="W594" s="5" t="s">
        <v>38</v>
      </c>
      <c r="X594" s="38" t="s">
        <v>2118</v>
      </c>
      <c r="Y594" s="44">
        <v>45334</v>
      </c>
      <c r="Z594" s="7" t="s">
        <v>2119</v>
      </c>
    </row>
    <row r="595" spans="1:26" x14ac:dyDescent="0.25">
      <c r="A595" s="7" t="s">
        <v>2127</v>
      </c>
      <c r="B595" s="7" t="s">
        <v>1071</v>
      </c>
      <c r="C595" s="5" t="s">
        <v>12</v>
      </c>
      <c r="D595" s="4" t="s">
        <v>20</v>
      </c>
      <c r="E595" s="5" t="s">
        <v>25</v>
      </c>
      <c r="F595" s="4" t="s">
        <v>952</v>
      </c>
      <c r="G595" s="9" t="s">
        <v>51</v>
      </c>
      <c r="H595" s="32">
        <v>45309</v>
      </c>
      <c r="I595" s="33">
        <v>45330</v>
      </c>
      <c r="J595" s="4" t="s">
        <v>101</v>
      </c>
      <c r="K595" s="6">
        <v>45330</v>
      </c>
      <c r="N595" s="4" t="s">
        <v>73</v>
      </c>
      <c r="O595" s="6">
        <v>45227</v>
      </c>
      <c r="P595" s="11">
        <v>45380</v>
      </c>
      <c r="Q595" s="9">
        <f ca="1">IF(P595="",TODAY()-O595,P595-O595)</f>
        <v>153</v>
      </c>
      <c r="R595" s="4" t="s">
        <v>41</v>
      </c>
      <c r="S595" s="5" t="s">
        <v>26</v>
      </c>
      <c r="T595" s="4" t="s">
        <v>132</v>
      </c>
      <c r="U595" s="5" t="s">
        <v>31</v>
      </c>
      <c r="W595" s="5" t="s">
        <v>38</v>
      </c>
      <c r="X595" s="38" t="s">
        <v>2128</v>
      </c>
      <c r="Y595" s="44">
        <v>45330</v>
      </c>
      <c r="Z595" s="7" t="s">
        <v>2220</v>
      </c>
    </row>
    <row r="596" spans="1:26" x14ac:dyDescent="0.25">
      <c r="A596" s="7" t="s">
        <v>1907</v>
      </c>
      <c r="B596" s="7" t="s">
        <v>1071</v>
      </c>
      <c r="C596" s="5" t="s">
        <v>12</v>
      </c>
      <c r="D596" s="4" t="s">
        <v>17</v>
      </c>
      <c r="E596" s="5" t="s">
        <v>24</v>
      </c>
      <c r="F596" s="4" t="s">
        <v>600</v>
      </c>
      <c r="G596" s="9" t="s">
        <v>51</v>
      </c>
      <c r="H596" s="32">
        <v>45250</v>
      </c>
      <c r="I596" s="33">
        <v>45274</v>
      </c>
      <c r="J596" s="4" t="s">
        <v>503</v>
      </c>
      <c r="K596" s="6">
        <v>45250</v>
      </c>
      <c r="L596" s="56"/>
      <c r="M596" s="56"/>
      <c r="N596" s="4" t="s">
        <v>73</v>
      </c>
      <c r="O596" s="6">
        <v>45229</v>
      </c>
      <c r="P596" s="11">
        <v>45314</v>
      </c>
      <c r="Q596" s="9">
        <f ca="1">IF(P596="",TODAY()-O596,P596-O596)</f>
        <v>85</v>
      </c>
      <c r="R596" s="4" t="s">
        <v>41</v>
      </c>
      <c r="S596" s="5" t="s">
        <v>26</v>
      </c>
      <c r="T596" s="4" t="s">
        <v>38</v>
      </c>
      <c r="U596" s="5" t="s">
        <v>30</v>
      </c>
      <c r="W596" s="5" t="s">
        <v>38</v>
      </c>
      <c r="X596" s="38" t="s">
        <v>1908</v>
      </c>
      <c r="Y596" s="44">
        <v>45250</v>
      </c>
      <c r="Z596" s="7" t="s">
        <v>1909</v>
      </c>
    </row>
    <row r="597" spans="1:26" x14ac:dyDescent="0.25">
      <c r="A597" s="7" t="s">
        <v>1762</v>
      </c>
      <c r="B597" s="7" t="s">
        <v>1071</v>
      </c>
      <c r="C597" s="5" t="s">
        <v>620</v>
      </c>
      <c r="D597" s="4" t="s">
        <v>16</v>
      </c>
      <c r="E597" s="5" t="s">
        <v>23</v>
      </c>
      <c r="F597" s="4" t="s">
        <v>799</v>
      </c>
      <c r="N597" s="4" t="s">
        <v>73</v>
      </c>
      <c r="O597" s="6">
        <v>45231</v>
      </c>
      <c r="P597" s="11">
        <v>45250</v>
      </c>
      <c r="Q597" s="9">
        <f ca="1">IF(P597="",TODAY()-O597,P597-O597)</f>
        <v>19</v>
      </c>
      <c r="R597" s="4" t="s">
        <v>43</v>
      </c>
      <c r="S597" s="5" t="s">
        <v>122</v>
      </c>
      <c r="T597" s="4" t="s">
        <v>38</v>
      </c>
      <c r="U597" s="5" t="s">
        <v>29</v>
      </c>
      <c r="V597" s="4">
        <v>1025</v>
      </c>
      <c r="W597" s="5" t="s">
        <v>39</v>
      </c>
      <c r="Z597" s="7" t="s">
        <v>1775</v>
      </c>
    </row>
    <row r="598" spans="1:26" x14ac:dyDescent="0.25">
      <c r="A598" s="7" t="s">
        <v>1763</v>
      </c>
      <c r="B598" s="7" t="s">
        <v>1071</v>
      </c>
      <c r="C598" s="5" t="s">
        <v>620</v>
      </c>
      <c r="D598" s="4" t="s">
        <v>16</v>
      </c>
      <c r="E598" s="5" t="s">
        <v>23</v>
      </c>
      <c r="F598" s="4" t="s">
        <v>799</v>
      </c>
      <c r="N598" s="4" t="s">
        <v>73</v>
      </c>
      <c r="O598" s="6">
        <v>45231</v>
      </c>
      <c r="P598" s="11">
        <v>45250</v>
      </c>
      <c r="Q598" s="9">
        <f ca="1">IF(P598="",TODAY()-O598,P598-O598)</f>
        <v>19</v>
      </c>
      <c r="R598" s="4" t="s">
        <v>43</v>
      </c>
      <c r="S598" s="5" t="s">
        <v>122</v>
      </c>
      <c r="T598" s="4" t="s">
        <v>38</v>
      </c>
      <c r="U598" s="5" t="s">
        <v>29</v>
      </c>
      <c r="V598" s="4">
        <v>1026</v>
      </c>
      <c r="W598" s="5" t="s">
        <v>39</v>
      </c>
      <c r="Z598" s="7" t="s">
        <v>1775</v>
      </c>
    </row>
    <row r="599" spans="1:26" x14ac:dyDescent="0.25">
      <c r="A599" s="7" t="s">
        <v>1764</v>
      </c>
      <c r="B599" s="7" t="s">
        <v>1071</v>
      </c>
      <c r="C599" s="5" t="s">
        <v>620</v>
      </c>
      <c r="D599" s="4" t="s">
        <v>16</v>
      </c>
      <c r="E599" s="5" t="s">
        <v>23</v>
      </c>
      <c r="F599" s="4" t="s">
        <v>799</v>
      </c>
      <c r="G599" s="9" t="s">
        <v>50</v>
      </c>
      <c r="H599" s="32">
        <v>45252</v>
      </c>
      <c r="J599" s="4" t="s">
        <v>102</v>
      </c>
      <c r="N599" s="4" t="s">
        <v>73</v>
      </c>
      <c r="O599" s="6">
        <v>45231</v>
      </c>
      <c r="P599" s="11">
        <v>45259</v>
      </c>
      <c r="Q599" s="9">
        <f ca="1">IF(P599="",TODAY()-O599,P599-O599)</f>
        <v>28</v>
      </c>
      <c r="R599" s="4" t="s">
        <v>43</v>
      </c>
      <c r="S599" s="5" t="s">
        <v>122</v>
      </c>
      <c r="T599" s="4" t="s">
        <v>38</v>
      </c>
      <c r="U599" s="5" t="s">
        <v>29</v>
      </c>
      <c r="V599" s="4">
        <v>1027</v>
      </c>
      <c r="W599" s="5" t="s">
        <v>39</v>
      </c>
      <c r="Z599" s="7" t="s">
        <v>1775</v>
      </c>
    </row>
    <row r="600" spans="1:26" x14ac:dyDescent="0.25">
      <c r="A600" s="7" t="s">
        <v>1767</v>
      </c>
      <c r="B600" s="7" t="s">
        <v>1071</v>
      </c>
      <c r="C600" s="5" t="s">
        <v>12</v>
      </c>
      <c r="D600" s="4" t="s">
        <v>311</v>
      </c>
      <c r="E600" s="5" t="s">
        <v>23</v>
      </c>
      <c r="F600" s="4" t="s">
        <v>384</v>
      </c>
      <c r="K600" s="6">
        <v>45258</v>
      </c>
      <c r="N600" s="4" t="s">
        <v>73</v>
      </c>
      <c r="O600" s="6">
        <v>45232</v>
      </c>
      <c r="Q600" s="9">
        <f ca="1">IF(P600="",TODAY()-O600,P600-O600)</f>
        <v>337</v>
      </c>
      <c r="S600" s="5" t="s">
        <v>631</v>
      </c>
      <c r="T600" s="4" t="s">
        <v>112</v>
      </c>
      <c r="U600" s="5" t="s">
        <v>29</v>
      </c>
      <c r="V600" s="4">
        <v>1034</v>
      </c>
      <c r="W600" s="5" t="s">
        <v>38</v>
      </c>
      <c r="Z600" s="7" t="s">
        <v>1944</v>
      </c>
    </row>
    <row r="601" spans="1:26" x14ac:dyDescent="0.25">
      <c r="A601" s="7" t="s">
        <v>1768</v>
      </c>
      <c r="B601" s="7" t="s">
        <v>1071</v>
      </c>
      <c r="C601" s="5" t="s">
        <v>12</v>
      </c>
      <c r="D601" s="4" t="s">
        <v>16</v>
      </c>
      <c r="F601" s="4" t="s">
        <v>1645</v>
      </c>
      <c r="N601" s="4" t="s">
        <v>73</v>
      </c>
      <c r="O601" s="6">
        <v>45232</v>
      </c>
      <c r="P601" s="11">
        <v>45241</v>
      </c>
      <c r="Q601" s="9">
        <f ca="1">IF(P601="",TODAY()-O601,P601-O601)</f>
        <v>9</v>
      </c>
      <c r="R601" s="4" t="s">
        <v>43</v>
      </c>
      <c r="S601" s="5" t="s">
        <v>631</v>
      </c>
      <c r="T601" s="4" t="s">
        <v>112</v>
      </c>
      <c r="U601" s="5" t="s">
        <v>29</v>
      </c>
      <c r="V601" s="4">
        <v>1034.0999999999999</v>
      </c>
      <c r="W601" s="5" t="s">
        <v>38</v>
      </c>
      <c r="X601" s="38" t="s">
        <v>2062</v>
      </c>
      <c r="Z601" s="7" t="s">
        <v>1957</v>
      </c>
    </row>
    <row r="602" spans="1:26" x14ac:dyDescent="0.25">
      <c r="A602" s="7" t="s">
        <v>1769</v>
      </c>
      <c r="B602" s="7" t="s">
        <v>1071</v>
      </c>
      <c r="C602" s="5" t="s">
        <v>12</v>
      </c>
      <c r="D602" s="4" t="s">
        <v>16</v>
      </c>
      <c r="F602" s="4" t="s">
        <v>1645</v>
      </c>
      <c r="N602" s="4" t="s">
        <v>73</v>
      </c>
      <c r="O602" s="6">
        <v>45232</v>
      </c>
      <c r="P602" s="11">
        <v>45263</v>
      </c>
      <c r="Q602" s="9">
        <f ca="1">IF(P602="",TODAY()-O602,P602-O602)</f>
        <v>31</v>
      </c>
      <c r="R602" s="4" t="s">
        <v>43</v>
      </c>
      <c r="S602" s="5" t="s">
        <v>631</v>
      </c>
      <c r="T602" s="4" t="s">
        <v>112</v>
      </c>
      <c r="U602" s="5" t="s">
        <v>29</v>
      </c>
      <c r="V602" s="4">
        <v>1034.2</v>
      </c>
      <c r="W602" s="5" t="s">
        <v>38</v>
      </c>
      <c r="Z602" s="7" t="s">
        <v>1958</v>
      </c>
    </row>
    <row r="603" spans="1:26" x14ac:dyDescent="0.25">
      <c r="A603" s="7" t="s">
        <v>1770</v>
      </c>
      <c r="B603" s="7" t="s">
        <v>1071</v>
      </c>
      <c r="C603" s="5" t="s">
        <v>12</v>
      </c>
      <c r="D603" s="4" t="s">
        <v>1195</v>
      </c>
      <c r="F603" s="4" t="s">
        <v>1645</v>
      </c>
      <c r="N603" s="4" t="s">
        <v>73</v>
      </c>
      <c r="O603" s="6">
        <v>45234</v>
      </c>
      <c r="P603" s="11">
        <v>45265</v>
      </c>
      <c r="Q603" s="9">
        <f ca="1">IF(P603="",TODAY()-O603,P603-O603)</f>
        <v>31</v>
      </c>
      <c r="R603" s="4" t="s">
        <v>43</v>
      </c>
      <c r="S603" s="5" t="s">
        <v>631</v>
      </c>
      <c r="T603" s="4" t="s">
        <v>112</v>
      </c>
      <c r="U603" s="5" t="s">
        <v>29</v>
      </c>
      <c r="V603" s="4">
        <v>1034.3</v>
      </c>
      <c r="W603" s="5" t="s">
        <v>38</v>
      </c>
      <c r="Z603" s="7" t="s">
        <v>1959</v>
      </c>
    </row>
    <row r="604" spans="1:26" x14ac:dyDescent="0.25">
      <c r="A604" s="7" t="s">
        <v>1771</v>
      </c>
      <c r="B604" s="7" t="s">
        <v>1071</v>
      </c>
      <c r="C604" s="5" t="s">
        <v>12</v>
      </c>
      <c r="D604" s="4" t="s">
        <v>1195</v>
      </c>
      <c r="E604" s="5" t="s">
        <v>25</v>
      </c>
      <c r="F604" s="4" t="s">
        <v>1645</v>
      </c>
      <c r="K604" s="6">
        <v>45396</v>
      </c>
      <c r="N604" s="4" t="s">
        <v>73</v>
      </c>
      <c r="O604" s="6">
        <v>45234</v>
      </c>
      <c r="Q604" s="9">
        <f ca="1">IF(P604="",TODAY()-O604,P604-O604)</f>
        <v>335</v>
      </c>
      <c r="S604" s="5" t="s">
        <v>631</v>
      </c>
      <c r="T604" s="4" t="s">
        <v>112</v>
      </c>
      <c r="U604" s="5" t="s">
        <v>31</v>
      </c>
      <c r="V604" s="4">
        <v>1034.4000000000001</v>
      </c>
      <c r="W604" s="5" t="s">
        <v>38</v>
      </c>
      <c r="Z604" s="7" t="s">
        <v>2567</v>
      </c>
    </row>
    <row r="605" spans="1:26" x14ac:dyDescent="0.25">
      <c r="A605" s="7" t="s">
        <v>1782</v>
      </c>
      <c r="B605" s="7" t="s">
        <v>1071</v>
      </c>
      <c r="C605" s="5" t="s">
        <v>12</v>
      </c>
      <c r="D605" s="4" t="s">
        <v>14</v>
      </c>
      <c r="F605" s="4" t="s">
        <v>799</v>
      </c>
      <c r="N605" s="4" t="s">
        <v>73</v>
      </c>
      <c r="O605" s="6">
        <v>45236</v>
      </c>
      <c r="P605" s="11">
        <v>45245</v>
      </c>
      <c r="Q605" s="9">
        <f ca="1">IF(P605="",TODAY()-O605,P605-O605)</f>
        <v>9</v>
      </c>
      <c r="R605" s="4" t="s">
        <v>42</v>
      </c>
      <c r="S605" s="5" t="s">
        <v>26</v>
      </c>
      <c r="T605" s="4" t="s">
        <v>1781</v>
      </c>
      <c r="U605" s="5" t="s">
        <v>29</v>
      </c>
      <c r="V605" s="4">
        <v>1028</v>
      </c>
      <c r="W605" s="5" t="s">
        <v>39</v>
      </c>
      <c r="Z605" s="7" t="s">
        <v>1796</v>
      </c>
    </row>
    <row r="606" spans="1:26" x14ac:dyDescent="0.25">
      <c r="A606" s="7" t="s">
        <v>1773</v>
      </c>
      <c r="B606" s="7" t="s">
        <v>1071</v>
      </c>
      <c r="C606" s="5" t="s">
        <v>12</v>
      </c>
      <c r="D606" s="4" t="s">
        <v>17</v>
      </c>
      <c r="E606" s="5" t="s">
        <v>23</v>
      </c>
      <c r="F606" s="4" t="s">
        <v>799</v>
      </c>
      <c r="N606" s="4" t="s">
        <v>73</v>
      </c>
      <c r="O606" s="6">
        <v>45236</v>
      </c>
      <c r="P606" s="11">
        <v>45248</v>
      </c>
      <c r="Q606" s="9">
        <f ca="1">IF(P606="",TODAY()-O606,P606-O606)</f>
        <v>12</v>
      </c>
      <c r="R606" s="4" t="s">
        <v>43</v>
      </c>
      <c r="S606" s="5" t="s">
        <v>121</v>
      </c>
      <c r="T606" s="4" t="s">
        <v>38</v>
      </c>
      <c r="U606" s="5" t="s">
        <v>29</v>
      </c>
      <c r="V606" s="4">
        <v>1029</v>
      </c>
      <c r="W606" s="5" t="s">
        <v>39</v>
      </c>
      <c r="Z606" s="7" t="s">
        <v>1797</v>
      </c>
    </row>
    <row r="607" spans="1:26" x14ac:dyDescent="0.25">
      <c r="A607" s="7" t="s">
        <v>1774</v>
      </c>
      <c r="B607" s="7" t="s">
        <v>1071</v>
      </c>
      <c r="C607" s="5" t="s">
        <v>12</v>
      </c>
      <c r="D607" s="4" t="s">
        <v>1195</v>
      </c>
      <c r="E607" s="5" t="s">
        <v>22</v>
      </c>
      <c r="F607" s="4" t="s">
        <v>799</v>
      </c>
      <c r="N607" s="4" t="s">
        <v>73</v>
      </c>
      <c r="O607" s="6">
        <v>45236</v>
      </c>
      <c r="Q607" s="9">
        <f ca="1">IF(P607="",TODAY()-O607,P607-O607)</f>
        <v>333</v>
      </c>
      <c r="S607" s="5" t="s">
        <v>121</v>
      </c>
      <c r="T607" s="4" t="s">
        <v>1385</v>
      </c>
      <c r="U607" s="5" t="s">
        <v>29</v>
      </c>
      <c r="V607" s="4">
        <v>1030</v>
      </c>
      <c r="W607" s="5" t="s">
        <v>39</v>
      </c>
      <c r="Z607" s="7" t="s">
        <v>1798</v>
      </c>
    </row>
    <row r="608" spans="1:26" x14ac:dyDescent="0.25">
      <c r="A608" s="7" t="s">
        <v>1846</v>
      </c>
      <c r="B608" s="7" t="s">
        <v>1071</v>
      </c>
      <c r="C608" s="5" t="s">
        <v>12</v>
      </c>
      <c r="D608" s="4" t="s">
        <v>127</v>
      </c>
      <c r="E608" s="5" t="s">
        <v>25</v>
      </c>
      <c r="F608" s="4" t="s">
        <v>384</v>
      </c>
      <c r="G608" s="9" t="s">
        <v>51</v>
      </c>
      <c r="H608" s="32">
        <v>45253</v>
      </c>
      <c r="I608" s="33">
        <v>45274</v>
      </c>
      <c r="J608" s="4" t="s">
        <v>503</v>
      </c>
      <c r="K608" s="6">
        <v>45224</v>
      </c>
      <c r="L608" s="56" t="s">
        <v>2016</v>
      </c>
      <c r="M608" s="56" t="s">
        <v>2016</v>
      </c>
      <c r="N608" s="4" t="s">
        <v>73</v>
      </c>
      <c r="O608" s="6">
        <v>45239</v>
      </c>
      <c r="P608" s="11">
        <v>45348</v>
      </c>
      <c r="Q608" s="9">
        <f ca="1">IF(P608="",TODAY()-O608,P608-O608)</f>
        <v>109</v>
      </c>
      <c r="R608" s="4" t="s">
        <v>41</v>
      </c>
      <c r="S608" s="5" t="s">
        <v>26</v>
      </c>
      <c r="T608" s="4" t="s">
        <v>38</v>
      </c>
      <c r="U608" s="5" t="s">
        <v>30</v>
      </c>
      <c r="V608" s="4">
        <v>1040</v>
      </c>
      <c r="W608" s="5" t="s">
        <v>38</v>
      </c>
      <c r="X608" s="38" t="s">
        <v>2042</v>
      </c>
      <c r="Y608" s="44">
        <v>45253</v>
      </c>
      <c r="Z608" s="7" t="s">
        <v>2043</v>
      </c>
    </row>
    <row r="609" spans="1:26" x14ac:dyDescent="0.25">
      <c r="A609" s="7" t="s">
        <v>1841</v>
      </c>
      <c r="B609" s="7" t="s">
        <v>1071</v>
      </c>
      <c r="C609" s="5" t="s">
        <v>12</v>
      </c>
      <c r="D609" s="4" t="s">
        <v>127</v>
      </c>
      <c r="E609" s="5" t="s">
        <v>23</v>
      </c>
      <c r="F609" s="4" t="s">
        <v>547</v>
      </c>
      <c r="G609" s="9" t="s">
        <v>51</v>
      </c>
      <c r="H609" s="32">
        <v>45253</v>
      </c>
      <c r="I609" s="33">
        <v>45275</v>
      </c>
      <c r="J609" s="4" t="s">
        <v>102</v>
      </c>
      <c r="N609" s="4" t="s">
        <v>73</v>
      </c>
      <c r="O609" s="6">
        <v>45239</v>
      </c>
      <c r="P609" s="11">
        <v>45282</v>
      </c>
      <c r="Q609" s="9">
        <f ca="1">IF(P609="",TODAY()-O609,P609-O609)</f>
        <v>43</v>
      </c>
      <c r="R609" s="4" t="s">
        <v>41</v>
      </c>
      <c r="S609" s="5" t="s">
        <v>26</v>
      </c>
      <c r="T609" s="4" t="s">
        <v>199</v>
      </c>
      <c r="U609" s="5" t="s">
        <v>30</v>
      </c>
      <c r="W609" s="5" t="s">
        <v>38</v>
      </c>
      <c r="X609" s="38" t="s">
        <v>1931</v>
      </c>
      <c r="Y609" s="44">
        <v>45253</v>
      </c>
      <c r="Z609" s="7" t="s">
        <v>1932</v>
      </c>
    </row>
    <row r="610" spans="1:26" x14ac:dyDescent="0.25">
      <c r="A610" s="7" t="s">
        <v>2570</v>
      </c>
      <c r="B610" s="7" t="s">
        <v>1071</v>
      </c>
      <c r="C610" s="5" t="s">
        <v>12</v>
      </c>
      <c r="D610" s="4" t="s">
        <v>17</v>
      </c>
      <c r="E610" s="5" t="s">
        <v>25</v>
      </c>
      <c r="F610" s="4" t="s">
        <v>384</v>
      </c>
      <c r="K610" s="6">
        <v>45239</v>
      </c>
      <c r="L610" s="7" t="s">
        <v>2016</v>
      </c>
      <c r="M610" s="7" t="s">
        <v>2016</v>
      </c>
      <c r="N610" s="4" t="s">
        <v>73</v>
      </c>
      <c r="O610" s="6">
        <v>45239</v>
      </c>
      <c r="P610" s="11">
        <v>45242</v>
      </c>
      <c r="R610" s="4" t="s">
        <v>2039</v>
      </c>
      <c r="S610" s="5" t="s">
        <v>631</v>
      </c>
      <c r="T610" s="4" t="s">
        <v>112</v>
      </c>
      <c r="U610" s="5" t="s">
        <v>30</v>
      </c>
      <c r="W610" s="5" t="s">
        <v>112</v>
      </c>
    </row>
    <row r="611" spans="1:26" x14ac:dyDescent="0.25">
      <c r="A611" s="7" t="s">
        <v>1795</v>
      </c>
      <c r="B611" s="7" t="s">
        <v>1071</v>
      </c>
      <c r="C611" s="5" t="s">
        <v>12</v>
      </c>
      <c r="D611" s="4" t="s">
        <v>127</v>
      </c>
      <c r="E611" s="5" t="s">
        <v>23</v>
      </c>
      <c r="F611" s="4" t="s">
        <v>1645</v>
      </c>
      <c r="N611" s="4" t="s">
        <v>73</v>
      </c>
      <c r="O611" s="6">
        <v>45243</v>
      </c>
      <c r="P611" s="11">
        <v>45254</v>
      </c>
      <c r="Q611" s="9">
        <f ca="1">IF(P611="",TODAY()-O611,P611-O611)</f>
        <v>11</v>
      </c>
      <c r="R611" s="4" t="s">
        <v>42</v>
      </c>
      <c r="S611" s="5" t="s">
        <v>631</v>
      </c>
      <c r="T611" s="4" t="s">
        <v>112</v>
      </c>
      <c r="U611" s="5" t="s">
        <v>29</v>
      </c>
      <c r="V611" s="4">
        <v>1034.5</v>
      </c>
      <c r="W611" s="5" t="s">
        <v>38</v>
      </c>
      <c r="Z611" s="7" t="s">
        <v>1822</v>
      </c>
    </row>
    <row r="612" spans="1:26" s="13" customFormat="1" ht="38.25" customHeight="1" x14ac:dyDescent="0.25">
      <c r="A612" s="7" t="s">
        <v>1813</v>
      </c>
      <c r="B612" s="7" t="s">
        <v>1071</v>
      </c>
      <c r="C612" s="5" t="s">
        <v>12</v>
      </c>
      <c r="D612" s="4" t="s">
        <v>17</v>
      </c>
      <c r="E612" s="5" t="s">
        <v>23</v>
      </c>
      <c r="F612" s="4" t="s">
        <v>1645</v>
      </c>
      <c r="G612" s="9"/>
      <c r="H612" s="30"/>
      <c r="I612" s="9"/>
      <c r="J612" s="4"/>
      <c r="K612" s="5"/>
      <c r="L612" s="7"/>
      <c r="M612" s="7"/>
      <c r="N612" s="4" t="s">
        <v>73</v>
      </c>
      <c r="O612" s="6">
        <v>45252</v>
      </c>
      <c r="P612" s="4"/>
      <c r="Q612" s="9">
        <f ca="1">IF(P612="",TODAY()-O612,P612-O612)</f>
        <v>317</v>
      </c>
      <c r="R612" s="4"/>
      <c r="S612" s="5" t="s">
        <v>26</v>
      </c>
      <c r="T612" s="4" t="s">
        <v>1460</v>
      </c>
      <c r="U612" s="5" t="s">
        <v>29</v>
      </c>
      <c r="V612" s="4"/>
      <c r="W612" s="5" t="s">
        <v>39</v>
      </c>
      <c r="X612" s="38"/>
      <c r="Y612" s="42"/>
      <c r="Z612" s="7" t="s">
        <v>1814</v>
      </c>
    </row>
    <row r="613" spans="1:26" x14ac:dyDescent="0.25">
      <c r="A613" s="7" t="s">
        <v>1838</v>
      </c>
      <c r="B613" s="7" t="s">
        <v>1071</v>
      </c>
      <c r="C613" s="5" t="s">
        <v>12</v>
      </c>
      <c r="D613" s="4" t="s">
        <v>16</v>
      </c>
      <c r="E613" s="5" t="s">
        <v>23</v>
      </c>
      <c r="F613" s="4" t="s">
        <v>384</v>
      </c>
      <c r="N613" s="4" t="s">
        <v>9</v>
      </c>
      <c r="O613" s="6">
        <v>45252</v>
      </c>
      <c r="P613" s="11">
        <v>45252</v>
      </c>
      <c r="Q613" s="9">
        <f ca="1">IF(P613="",TODAY()-O613,P613-O613)</f>
        <v>0</v>
      </c>
      <c r="R613" s="4" t="s">
        <v>42</v>
      </c>
      <c r="S613" s="5" t="s">
        <v>631</v>
      </c>
      <c r="U613" s="5" t="s">
        <v>31</v>
      </c>
      <c r="W613" s="5" t="s">
        <v>112</v>
      </c>
      <c r="Z613" s="7" t="s">
        <v>1839</v>
      </c>
    </row>
    <row r="614" spans="1:26" x14ac:dyDescent="0.25">
      <c r="A614" s="7" t="s">
        <v>1919</v>
      </c>
      <c r="B614" s="7" t="s">
        <v>1071</v>
      </c>
      <c r="C614" s="5" t="s">
        <v>12</v>
      </c>
      <c r="D614" s="4" t="s">
        <v>20</v>
      </c>
      <c r="E614" s="5" t="s">
        <v>22</v>
      </c>
      <c r="F614" s="11" t="s">
        <v>1922</v>
      </c>
      <c r="N614" s="4" t="s">
        <v>73</v>
      </c>
      <c r="O614" s="6">
        <v>45252</v>
      </c>
      <c r="Q614" s="9">
        <f ca="1">IF(P614="",TODAY()-O614,P614-O614)</f>
        <v>317</v>
      </c>
      <c r="R614" s="4" t="s">
        <v>43</v>
      </c>
      <c r="S614" s="5" t="s">
        <v>631</v>
      </c>
      <c r="T614" s="4" t="s">
        <v>38</v>
      </c>
      <c r="U614" s="5" t="s">
        <v>30</v>
      </c>
      <c r="W614" s="5" t="s">
        <v>112</v>
      </c>
      <c r="Z614" s="7" t="s">
        <v>1944</v>
      </c>
    </row>
    <row r="615" spans="1:26" x14ac:dyDescent="0.25">
      <c r="A615" s="7" t="s">
        <v>1920</v>
      </c>
      <c r="B615" s="7" t="s">
        <v>1071</v>
      </c>
      <c r="C615" s="5" t="s">
        <v>12</v>
      </c>
      <c r="D615" s="4" t="s">
        <v>311</v>
      </c>
      <c r="E615" s="5" t="s">
        <v>22</v>
      </c>
      <c r="F615" s="11" t="s">
        <v>1923</v>
      </c>
      <c r="G615" s="9" t="s">
        <v>51</v>
      </c>
      <c r="H615" s="32">
        <v>45306</v>
      </c>
      <c r="I615" s="33">
        <v>45330</v>
      </c>
      <c r="J615" s="4" t="s">
        <v>101</v>
      </c>
      <c r="N615" s="4" t="s">
        <v>73</v>
      </c>
      <c r="O615" s="6">
        <v>45252</v>
      </c>
      <c r="P615" s="11">
        <v>45332</v>
      </c>
      <c r="Q615" s="9">
        <f ca="1">IF(P615="",TODAY()-O615,P615-O615)</f>
        <v>80</v>
      </c>
      <c r="R615" s="4" t="s">
        <v>41</v>
      </c>
      <c r="S615" s="5" t="s">
        <v>631</v>
      </c>
      <c r="T615" s="4" t="s">
        <v>38</v>
      </c>
      <c r="U615" s="5" t="s">
        <v>31</v>
      </c>
      <c r="W615" s="5" t="s">
        <v>112</v>
      </c>
      <c r="X615" s="38" t="s">
        <v>1917</v>
      </c>
      <c r="Y615" s="44">
        <v>45330</v>
      </c>
      <c r="Z615" s="7" t="s">
        <v>1918</v>
      </c>
    </row>
    <row r="616" spans="1:26" x14ac:dyDescent="0.25">
      <c r="A616" s="7" t="s">
        <v>1921</v>
      </c>
      <c r="B616" s="7" t="s">
        <v>1071</v>
      </c>
      <c r="C616" s="5" t="s">
        <v>12</v>
      </c>
      <c r="D616" s="4" t="s">
        <v>15</v>
      </c>
      <c r="E616" s="5" t="s">
        <v>23</v>
      </c>
      <c r="F616" s="11" t="s">
        <v>1923</v>
      </c>
      <c r="G616" s="9" t="s">
        <v>51</v>
      </c>
      <c r="H616" s="32">
        <v>45306</v>
      </c>
      <c r="I616" s="33">
        <v>45330</v>
      </c>
      <c r="J616" s="4" t="s">
        <v>101</v>
      </c>
      <c r="N616" s="4" t="s">
        <v>73</v>
      </c>
      <c r="O616" s="6">
        <v>45252</v>
      </c>
      <c r="P616" s="11">
        <v>45341</v>
      </c>
      <c r="Q616" s="9">
        <f ca="1">IF(P616="",TODAY()-O616,P616-O616)</f>
        <v>89</v>
      </c>
      <c r="R616" s="4" t="s">
        <v>41</v>
      </c>
      <c r="S616" s="5" t="s">
        <v>631</v>
      </c>
      <c r="T616" s="4" t="s">
        <v>38</v>
      </c>
      <c r="U616" s="5" t="s">
        <v>31</v>
      </c>
      <c r="W616" s="5" t="s">
        <v>112</v>
      </c>
      <c r="X616" s="38" t="s">
        <v>1936</v>
      </c>
      <c r="Y616" s="44">
        <v>45330</v>
      </c>
      <c r="Z616" s="7" t="s">
        <v>1918</v>
      </c>
    </row>
    <row r="617" spans="1:26" x14ac:dyDescent="0.25">
      <c r="A617" s="7" t="s">
        <v>2562</v>
      </c>
      <c r="B617" s="7" t="s">
        <v>1071</v>
      </c>
      <c r="C617" s="5" t="s">
        <v>12</v>
      </c>
      <c r="D617" s="4" t="s">
        <v>17</v>
      </c>
      <c r="E617" s="5" t="s">
        <v>2227</v>
      </c>
      <c r="F617" s="4" t="s">
        <v>2561</v>
      </c>
      <c r="N617" s="4" t="s">
        <v>73</v>
      </c>
      <c r="O617" s="6">
        <v>45252</v>
      </c>
      <c r="Q617" s="9">
        <f ca="1">IF(P617="",TODAY()-O617,P617-O617)</f>
        <v>317</v>
      </c>
      <c r="S617" s="5" t="s">
        <v>26</v>
      </c>
      <c r="T617" s="4" t="s">
        <v>1460</v>
      </c>
      <c r="U617" s="5" t="s">
        <v>30</v>
      </c>
      <c r="V617" s="4">
        <v>1035</v>
      </c>
      <c r="W617" s="5" t="s">
        <v>39</v>
      </c>
    </row>
    <row r="618" spans="1:26" x14ac:dyDescent="0.25">
      <c r="A618" s="28" t="s">
        <v>1840</v>
      </c>
      <c r="B618" s="28" t="s">
        <v>1071</v>
      </c>
      <c r="C618" s="14" t="s">
        <v>12</v>
      </c>
      <c r="D618" s="13" t="s">
        <v>20</v>
      </c>
      <c r="E618" s="14" t="s">
        <v>24</v>
      </c>
      <c r="F618" s="13" t="s">
        <v>384</v>
      </c>
      <c r="G618" s="15"/>
      <c r="H618" s="31"/>
      <c r="I618" s="15"/>
      <c r="J618" s="13"/>
      <c r="K618" s="14"/>
      <c r="L618" s="28"/>
      <c r="M618" s="28"/>
      <c r="N618" s="13" t="s">
        <v>9</v>
      </c>
      <c r="O618" s="16">
        <v>45255</v>
      </c>
      <c r="P618" s="36">
        <v>45255</v>
      </c>
      <c r="Q618" s="9">
        <f ca="1">IF(P618="",TODAY()-O618,P618-O618)</f>
        <v>0</v>
      </c>
      <c r="R618" s="13" t="s">
        <v>42</v>
      </c>
      <c r="S618" s="14" t="s">
        <v>631</v>
      </c>
      <c r="T618" s="13" t="s">
        <v>112</v>
      </c>
      <c r="U618" s="14" t="s">
        <v>33</v>
      </c>
      <c r="V618" s="13"/>
      <c r="W618" s="14" t="s">
        <v>38</v>
      </c>
      <c r="X618" s="39"/>
      <c r="Y618" s="43"/>
      <c r="Z618" s="28" t="s">
        <v>1839</v>
      </c>
    </row>
    <row r="619" spans="1:26" x14ac:dyDescent="0.25">
      <c r="A619" s="7" t="s">
        <v>2431</v>
      </c>
      <c r="B619" s="7" t="s">
        <v>1071</v>
      </c>
      <c r="C619" s="5" t="s">
        <v>12</v>
      </c>
      <c r="D619" s="4" t="s">
        <v>16</v>
      </c>
      <c r="F619" s="4" t="s">
        <v>902</v>
      </c>
      <c r="H619" s="32"/>
      <c r="I619" s="33"/>
      <c r="K619" s="6"/>
      <c r="L619" s="56"/>
      <c r="M619" s="56"/>
      <c r="N619" s="4" t="s">
        <v>73</v>
      </c>
      <c r="O619" s="6">
        <v>45257</v>
      </c>
      <c r="P619" s="11">
        <v>45258</v>
      </c>
      <c r="Q619" s="9">
        <f ca="1">IF(P619="",TODAY()-O619,P619-O619)</f>
        <v>1</v>
      </c>
      <c r="R619" s="4" t="s">
        <v>43</v>
      </c>
      <c r="S619" s="5" t="s">
        <v>631</v>
      </c>
      <c r="T619" s="4" t="s">
        <v>38</v>
      </c>
      <c r="U619" s="5" t="s">
        <v>30</v>
      </c>
      <c r="W619" s="5" t="s">
        <v>38</v>
      </c>
      <c r="Y619" s="44"/>
    </row>
    <row r="620" spans="1:26" x14ac:dyDescent="0.25">
      <c r="A620" s="7" t="s">
        <v>2432</v>
      </c>
      <c r="B620" s="7" t="s">
        <v>1071</v>
      </c>
      <c r="C620" s="5" t="s">
        <v>12</v>
      </c>
      <c r="D620" s="4" t="s">
        <v>311</v>
      </c>
      <c r="E620" s="5" t="s">
        <v>2227</v>
      </c>
      <c r="F620" s="4" t="s">
        <v>902</v>
      </c>
      <c r="G620" s="9" t="s">
        <v>51</v>
      </c>
      <c r="H620" s="32">
        <v>45344</v>
      </c>
      <c r="I620" s="33">
        <v>45371</v>
      </c>
      <c r="K620" s="6"/>
      <c r="L620" s="56"/>
      <c r="M620" s="56"/>
      <c r="N620" s="4" t="s">
        <v>73</v>
      </c>
      <c r="O620" s="6">
        <v>45257</v>
      </c>
      <c r="P620" s="11">
        <v>45385</v>
      </c>
      <c r="Q620" s="9">
        <f ca="1">IF(P620="",TODAY()-O620,P620-O620)</f>
        <v>128</v>
      </c>
      <c r="R620" s="4" t="s">
        <v>41</v>
      </c>
      <c r="S620" s="5" t="s">
        <v>631</v>
      </c>
      <c r="T620" s="4" t="s">
        <v>38</v>
      </c>
      <c r="U620" s="5" t="s">
        <v>31</v>
      </c>
      <c r="W620" s="5" t="s">
        <v>38</v>
      </c>
      <c r="X620" s="38" t="s">
        <v>2433</v>
      </c>
      <c r="Y620" s="44">
        <v>45344</v>
      </c>
      <c r="Z620" s="7" t="s">
        <v>2434</v>
      </c>
    </row>
    <row r="621" spans="1:26" x14ac:dyDescent="0.25">
      <c r="A621" s="7" t="s">
        <v>1842</v>
      </c>
      <c r="B621" s="7" t="s">
        <v>1071</v>
      </c>
      <c r="C621" s="5" t="s">
        <v>12</v>
      </c>
      <c r="D621" s="4" t="s">
        <v>17</v>
      </c>
      <c r="E621" s="5" t="s">
        <v>25</v>
      </c>
      <c r="F621" s="4" t="s">
        <v>384</v>
      </c>
      <c r="K621" s="6">
        <v>45260</v>
      </c>
      <c r="L621" s="56"/>
      <c r="M621" s="56"/>
      <c r="N621" s="4" t="s">
        <v>73</v>
      </c>
      <c r="O621" s="6">
        <v>45259</v>
      </c>
      <c r="P621" s="11">
        <v>45261</v>
      </c>
      <c r="Q621" s="9">
        <f ca="1">IF(P621="",TODAY()-O621,P621-O621)</f>
        <v>2</v>
      </c>
      <c r="R621" s="4" t="s">
        <v>2039</v>
      </c>
      <c r="S621" s="5" t="s">
        <v>631</v>
      </c>
      <c r="T621" s="4" t="s">
        <v>38</v>
      </c>
      <c r="U621" s="5" t="s">
        <v>30</v>
      </c>
      <c r="W621" s="5" t="s">
        <v>38</v>
      </c>
      <c r="Z621" s="7" t="s">
        <v>1844</v>
      </c>
    </row>
    <row r="622" spans="1:26" x14ac:dyDescent="0.25">
      <c r="A622" s="7" t="s">
        <v>1843</v>
      </c>
      <c r="B622" s="7" t="s">
        <v>1071</v>
      </c>
      <c r="C622" s="5" t="s">
        <v>12</v>
      </c>
      <c r="D622" s="4" t="s">
        <v>311</v>
      </c>
      <c r="E622" s="5" t="s">
        <v>25</v>
      </c>
      <c r="F622" s="4" t="s">
        <v>384</v>
      </c>
      <c r="K622" s="6">
        <v>45260</v>
      </c>
      <c r="L622" s="56"/>
      <c r="M622" s="56"/>
      <c r="N622" s="4" t="s">
        <v>73</v>
      </c>
      <c r="O622" s="6">
        <v>45259</v>
      </c>
      <c r="P622" s="11">
        <v>45261</v>
      </c>
      <c r="Q622" s="9">
        <f ca="1">IF(P622="",TODAY()-O622,P622-O622)</f>
        <v>2</v>
      </c>
      <c r="R622" s="4" t="s">
        <v>2039</v>
      </c>
      <c r="S622" s="5" t="s">
        <v>631</v>
      </c>
      <c r="T622" s="4" t="s">
        <v>38</v>
      </c>
      <c r="U622" s="5" t="s">
        <v>30</v>
      </c>
      <c r="W622" s="5" t="s">
        <v>38</v>
      </c>
      <c r="Z622" s="7" t="s">
        <v>1844</v>
      </c>
    </row>
    <row r="623" spans="1:26" x14ac:dyDescent="0.25">
      <c r="A623" s="7" t="s">
        <v>2571</v>
      </c>
      <c r="B623" s="7" t="s">
        <v>1071</v>
      </c>
      <c r="C623" s="5" t="s">
        <v>12</v>
      </c>
      <c r="D623" s="4" t="s">
        <v>20</v>
      </c>
      <c r="E623" s="5" t="s">
        <v>24</v>
      </c>
      <c r="F623" s="4" t="s">
        <v>384</v>
      </c>
      <c r="K623" s="6">
        <v>45259</v>
      </c>
      <c r="L623" s="7" t="s">
        <v>2016</v>
      </c>
      <c r="M623" s="7" t="s">
        <v>2016</v>
      </c>
      <c r="O623" s="6">
        <v>45259</v>
      </c>
      <c r="P623" s="11">
        <v>45259</v>
      </c>
      <c r="R623" s="4" t="s">
        <v>2039</v>
      </c>
      <c r="S623" s="5" t="s">
        <v>631</v>
      </c>
      <c r="U623" s="5" t="s">
        <v>33</v>
      </c>
      <c r="W623" s="5" t="s">
        <v>112</v>
      </c>
    </row>
    <row r="624" spans="1:26" x14ac:dyDescent="0.25">
      <c r="A624" s="7" t="s">
        <v>2564</v>
      </c>
      <c r="B624" s="7" t="s">
        <v>1071</v>
      </c>
      <c r="C624" s="5" t="s">
        <v>12</v>
      </c>
      <c r="D624" s="4" t="s">
        <v>20</v>
      </c>
      <c r="E624" s="5" t="s">
        <v>25</v>
      </c>
      <c r="F624" s="4" t="s">
        <v>384</v>
      </c>
      <c r="L624" s="7" t="s">
        <v>2016</v>
      </c>
      <c r="M624" s="7" t="s">
        <v>2016</v>
      </c>
      <c r="O624" s="6">
        <v>45265</v>
      </c>
      <c r="P624" s="11">
        <v>45265</v>
      </c>
      <c r="Q624" s="9">
        <f ca="1">IF(P624="",TODAY()-O624,P624-O624)</f>
        <v>0</v>
      </c>
      <c r="R624" s="4" t="s">
        <v>2039</v>
      </c>
      <c r="S624" s="5" t="s">
        <v>631</v>
      </c>
      <c r="U624" s="5" t="s">
        <v>29</v>
      </c>
      <c r="V624" s="4">
        <v>1036</v>
      </c>
      <c r="W624" s="5" t="s">
        <v>1460</v>
      </c>
    </row>
    <row r="625" spans="1:26" x14ac:dyDescent="0.25">
      <c r="A625" s="7" t="s">
        <v>2565</v>
      </c>
      <c r="B625" s="7" t="s">
        <v>1071</v>
      </c>
      <c r="C625" s="5" t="s">
        <v>12</v>
      </c>
      <c r="D625" s="4" t="s">
        <v>20</v>
      </c>
      <c r="E625" s="5" t="s">
        <v>24</v>
      </c>
      <c r="F625" s="4" t="s">
        <v>384</v>
      </c>
      <c r="L625" s="7" t="s">
        <v>2016</v>
      </c>
      <c r="M625" s="7" t="s">
        <v>2016</v>
      </c>
      <c r="O625" s="6">
        <v>45265</v>
      </c>
      <c r="P625" s="11">
        <v>45265</v>
      </c>
      <c r="Q625" s="9">
        <f ca="1">IF(P625="",TODAY()-O625,P625-O625)</f>
        <v>0</v>
      </c>
      <c r="R625" s="4" t="s">
        <v>2039</v>
      </c>
      <c r="S625" s="5" t="s">
        <v>631</v>
      </c>
      <c r="U625" s="5" t="s">
        <v>29</v>
      </c>
      <c r="V625" s="4">
        <v>1037</v>
      </c>
      <c r="W625" s="5" t="s">
        <v>1460</v>
      </c>
    </row>
    <row r="626" spans="1:26" x14ac:dyDescent="0.25">
      <c r="A626" s="7" t="s">
        <v>1853</v>
      </c>
      <c r="B626" s="7" t="s">
        <v>1071</v>
      </c>
      <c r="C626" s="5" t="s">
        <v>12</v>
      </c>
      <c r="D626" s="4" t="s">
        <v>16</v>
      </c>
      <c r="E626" s="5" t="s">
        <v>25</v>
      </c>
      <c r="F626" s="4" t="s">
        <v>384</v>
      </c>
      <c r="G626" s="9" t="s">
        <v>51</v>
      </c>
      <c r="H626" s="32">
        <v>45344</v>
      </c>
      <c r="I626" s="33">
        <v>45371</v>
      </c>
      <c r="K626" s="6">
        <v>45267</v>
      </c>
      <c r="L626" s="56"/>
      <c r="M626" s="56"/>
      <c r="N626" s="4" t="s">
        <v>73</v>
      </c>
      <c r="O626" s="6">
        <v>45267</v>
      </c>
      <c r="Q626" s="9">
        <f ca="1">IF(P626="",TODAY()-O626,P626-O626)</f>
        <v>302</v>
      </c>
      <c r="S626" s="5" t="s">
        <v>631</v>
      </c>
      <c r="T626" s="4" t="s">
        <v>38</v>
      </c>
      <c r="U626" s="5" t="s">
        <v>30</v>
      </c>
      <c r="W626" s="5" t="s">
        <v>38</v>
      </c>
      <c r="Y626" s="44">
        <v>45344</v>
      </c>
      <c r="Z626" s="7" t="s">
        <v>2129</v>
      </c>
    </row>
    <row r="627" spans="1:26" x14ac:dyDescent="0.25">
      <c r="A627" s="7" t="s">
        <v>2079</v>
      </c>
      <c r="N627" s="4" t="s">
        <v>73</v>
      </c>
      <c r="O627" s="6">
        <v>45280</v>
      </c>
      <c r="Q627" s="9">
        <f ca="1">IF(P627="",TODAY()-O627,P627-O627)</f>
        <v>289</v>
      </c>
    </row>
    <row r="628" spans="1:26" x14ac:dyDescent="0.25">
      <c r="A628" s="7" t="s">
        <v>2080</v>
      </c>
      <c r="B628" s="7" t="s">
        <v>1071</v>
      </c>
      <c r="N628" s="4" t="s">
        <v>73</v>
      </c>
      <c r="O628" s="6">
        <v>45280</v>
      </c>
      <c r="Q628" s="9">
        <f ca="1">IF(P628="",TODAY()-O628,P628-O628)</f>
        <v>289</v>
      </c>
    </row>
    <row r="629" spans="1:26" x14ac:dyDescent="0.25">
      <c r="A629" s="7" t="s">
        <v>1995</v>
      </c>
      <c r="B629" s="7" t="s">
        <v>1071</v>
      </c>
      <c r="C629" s="5" t="s">
        <v>12</v>
      </c>
      <c r="D629" s="4" t="s">
        <v>20</v>
      </c>
      <c r="E629" s="5" t="s">
        <v>24</v>
      </c>
      <c r="F629" s="4" t="s">
        <v>384</v>
      </c>
      <c r="G629" s="9" t="s">
        <v>51</v>
      </c>
      <c r="H629" s="32">
        <v>45307</v>
      </c>
      <c r="I629" s="33">
        <v>45330</v>
      </c>
      <c r="J629" s="4" t="s">
        <v>101</v>
      </c>
      <c r="K629" s="6">
        <v>45281</v>
      </c>
      <c r="L629" s="56"/>
      <c r="M629" s="56"/>
      <c r="N629" s="4" t="s">
        <v>73</v>
      </c>
      <c r="O629" s="6">
        <v>45281</v>
      </c>
      <c r="Q629" s="9">
        <f ca="1">IF(P629="",TODAY()-O629,P629-O629)</f>
        <v>288</v>
      </c>
      <c r="S629" s="5" t="s">
        <v>27</v>
      </c>
      <c r="T629" s="4" t="s">
        <v>38</v>
      </c>
      <c r="U629" s="5" t="s">
        <v>31</v>
      </c>
      <c r="W629" s="5" t="s">
        <v>38</v>
      </c>
      <c r="Y629" s="44">
        <v>45330</v>
      </c>
      <c r="Z629" s="7" t="s">
        <v>1997</v>
      </c>
    </row>
    <row r="630" spans="1:26" x14ac:dyDescent="0.25">
      <c r="A630" s="7" t="s">
        <v>1996</v>
      </c>
      <c r="B630" s="7" t="s">
        <v>1071</v>
      </c>
      <c r="C630" s="5" t="s">
        <v>12</v>
      </c>
      <c r="D630" s="4" t="s">
        <v>311</v>
      </c>
      <c r="E630" s="5" t="s">
        <v>24</v>
      </c>
      <c r="F630" s="4" t="s">
        <v>384</v>
      </c>
      <c r="G630" s="9" t="s">
        <v>51</v>
      </c>
      <c r="H630" s="32">
        <v>45307</v>
      </c>
      <c r="I630" s="33">
        <v>45330</v>
      </c>
      <c r="J630" s="4" t="s">
        <v>101</v>
      </c>
      <c r="K630" s="6">
        <v>45281</v>
      </c>
      <c r="L630" s="56"/>
      <c r="M630" s="56"/>
      <c r="N630" s="4" t="s">
        <v>73</v>
      </c>
      <c r="O630" s="6">
        <v>45281</v>
      </c>
      <c r="Q630" s="9">
        <f ca="1">IF(P630="",TODAY()-O630,P630-O630)</f>
        <v>288</v>
      </c>
      <c r="S630" s="5" t="s">
        <v>27</v>
      </c>
      <c r="T630" s="4" t="s">
        <v>38</v>
      </c>
      <c r="U630" s="5" t="s">
        <v>31</v>
      </c>
      <c r="W630" s="5" t="s">
        <v>38</v>
      </c>
      <c r="Y630" s="44">
        <v>45330</v>
      </c>
      <c r="Z630" s="7" t="s">
        <v>1997</v>
      </c>
    </row>
    <row r="631" spans="1:26" x14ac:dyDescent="0.25">
      <c r="A631" s="7" t="s">
        <v>2136</v>
      </c>
      <c r="B631" s="7" t="s">
        <v>1071</v>
      </c>
      <c r="C631" s="5" t="s">
        <v>12</v>
      </c>
      <c r="D631" s="4" t="s">
        <v>20</v>
      </c>
      <c r="E631" s="5" t="s">
        <v>24</v>
      </c>
      <c r="F631" s="4" t="s">
        <v>2137</v>
      </c>
      <c r="O631" s="6">
        <v>45281</v>
      </c>
      <c r="Q631" s="9">
        <f ca="1">IF(P631="",TODAY()-O631,P631-O631)</f>
        <v>288</v>
      </c>
      <c r="S631" s="5" t="s">
        <v>27</v>
      </c>
      <c r="T631" s="4" t="s">
        <v>112</v>
      </c>
    </row>
    <row r="632" spans="1:26" s="13" customFormat="1" x14ac:dyDescent="0.25">
      <c r="A632" s="7" t="s">
        <v>2138</v>
      </c>
      <c r="B632" s="7" t="s">
        <v>1071</v>
      </c>
      <c r="C632" s="5" t="s">
        <v>12</v>
      </c>
      <c r="D632" s="4" t="s">
        <v>17</v>
      </c>
      <c r="E632" s="5" t="s">
        <v>24</v>
      </c>
      <c r="F632" s="4" t="s">
        <v>2139</v>
      </c>
      <c r="G632" s="9"/>
      <c r="H632" s="30"/>
      <c r="I632" s="9"/>
      <c r="J632" s="4"/>
      <c r="K632" s="5"/>
      <c r="L632" s="7"/>
      <c r="M632" s="7"/>
      <c r="N632" s="4"/>
      <c r="O632" s="6">
        <v>45281</v>
      </c>
      <c r="P632" s="4"/>
      <c r="Q632" s="9">
        <f ca="1">IF(P632="",TODAY()-O632,P632-O632)</f>
        <v>288</v>
      </c>
      <c r="R632" s="4"/>
      <c r="S632" s="5" t="s">
        <v>27</v>
      </c>
      <c r="T632" s="4" t="s">
        <v>112</v>
      </c>
      <c r="U632" s="5"/>
      <c r="V632" s="4"/>
      <c r="W632" s="5"/>
      <c r="X632" s="38"/>
      <c r="Y632" s="42"/>
      <c r="Z632" s="7"/>
    </row>
    <row r="633" spans="1:26" x14ac:dyDescent="0.25">
      <c r="A633" s="7" t="s">
        <v>2140</v>
      </c>
      <c r="B633" s="7" t="s">
        <v>1071</v>
      </c>
      <c r="C633" s="5" t="s">
        <v>12</v>
      </c>
      <c r="D633" s="4" t="s">
        <v>17</v>
      </c>
      <c r="E633" s="5" t="s">
        <v>25</v>
      </c>
      <c r="F633" s="4" t="s">
        <v>2137</v>
      </c>
      <c r="O633" s="6">
        <v>45281</v>
      </c>
      <c r="Q633" s="9">
        <f ca="1">IF(P633="",TODAY()-O633,P633-O633)</f>
        <v>288</v>
      </c>
      <c r="S633" s="5" t="s">
        <v>27</v>
      </c>
      <c r="T633" s="4" t="s">
        <v>112</v>
      </c>
    </row>
    <row r="634" spans="1:26" x14ac:dyDescent="0.25">
      <c r="A634" s="7" t="s">
        <v>2135</v>
      </c>
      <c r="B634" s="7" t="s">
        <v>1071</v>
      </c>
      <c r="C634" s="5" t="s">
        <v>12</v>
      </c>
      <c r="D634" s="4" t="s">
        <v>17</v>
      </c>
      <c r="O634" s="6">
        <v>45281</v>
      </c>
      <c r="Q634" s="9">
        <f ca="1">IF(P634="",TODAY()-O634,P634-O634)</f>
        <v>288</v>
      </c>
      <c r="S634" s="5" t="s">
        <v>27</v>
      </c>
      <c r="T634" s="4" t="s">
        <v>112</v>
      </c>
    </row>
    <row r="635" spans="1:26" x14ac:dyDescent="0.25">
      <c r="A635" s="7" t="s">
        <v>2066</v>
      </c>
      <c r="B635" s="7" t="s">
        <v>1071</v>
      </c>
      <c r="C635" s="5" t="s">
        <v>12</v>
      </c>
      <c r="D635" s="4" t="s">
        <v>17</v>
      </c>
      <c r="E635" s="5" t="s">
        <v>25</v>
      </c>
      <c r="F635" s="4" t="s">
        <v>2091</v>
      </c>
      <c r="G635" s="9" t="s">
        <v>51</v>
      </c>
      <c r="H635" s="32">
        <v>45309</v>
      </c>
      <c r="I635" s="33">
        <v>45330</v>
      </c>
      <c r="J635" s="4" t="s">
        <v>503</v>
      </c>
      <c r="K635" s="6">
        <v>45330</v>
      </c>
      <c r="N635" s="4" t="s">
        <v>73</v>
      </c>
      <c r="O635" s="6">
        <v>45282</v>
      </c>
      <c r="P635" s="11">
        <v>45353</v>
      </c>
      <c r="Q635" s="9">
        <f ca="1">IF(P635="",TODAY()-O635,P635-O635)</f>
        <v>71</v>
      </c>
      <c r="S635" s="5" t="s">
        <v>27</v>
      </c>
      <c r="T635" s="4" t="s">
        <v>2024</v>
      </c>
      <c r="U635" s="5" t="s">
        <v>30</v>
      </c>
      <c r="W635" s="5" t="s">
        <v>38</v>
      </c>
      <c r="X635" s="38" t="s">
        <v>2065</v>
      </c>
      <c r="Y635" s="44">
        <v>45330</v>
      </c>
      <c r="Z635" s="7" t="s">
        <v>2132</v>
      </c>
    </row>
    <row r="636" spans="1:26" x14ac:dyDescent="0.25">
      <c r="A636" s="7" t="s">
        <v>2092</v>
      </c>
      <c r="B636" s="7" t="s">
        <v>1071</v>
      </c>
      <c r="C636" s="5" t="s">
        <v>12</v>
      </c>
      <c r="D636" s="4" t="s">
        <v>17</v>
      </c>
      <c r="E636" s="5" t="s">
        <v>25</v>
      </c>
      <c r="F636" s="4" t="s">
        <v>2091</v>
      </c>
      <c r="G636" s="9" t="s">
        <v>51</v>
      </c>
      <c r="H636" s="32">
        <v>45309</v>
      </c>
      <c r="I636" s="33">
        <v>45330</v>
      </c>
      <c r="J636" s="4" t="s">
        <v>503</v>
      </c>
      <c r="K636" s="6">
        <v>45330</v>
      </c>
      <c r="N636" s="4" t="s">
        <v>73</v>
      </c>
      <c r="O636" s="6">
        <v>45282</v>
      </c>
      <c r="P636" s="11">
        <v>45353</v>
      </c>
      <c r="Q636" s="9">
        <f ca="1">IF(P636="",TODAY()-O636,P636-O636)</f>
        <v>71</v>
      </c>
      <c r="S636" s="5" t="s">
        <v>27</v>
      </c>
      <c r="T636" s="4" t="s">
        <v>2024</v>
      </c>
      <c r="U636" s="5" t="s">
        <v>30</v>
      </c>
      <c r="W636" s="5" t="s">
        <v>38</v>
      </c>
      <c r="X636" s="38" t="s">
        <v>2063</v>
      </c>
      <c r="Y636" s="44">
        <v>45330</v>
      </c>
      <c r="Z636" s="7" t="s">
        <v>2133</v>
      </c>
    </row>
    <row r="637" spans="1:26" x14ac:dyDescent="0.25">
      <c r="A637" s="7" t="s">
        <v>2067</v>
      </c>
      <c r="B637" s="7" t="s">
        <v>1071</v>
      </c>
      <c r="C637" s="5" t="s">
        <v>620</v>
      </c>
      <c r="D637" s="4" t="s">
        <v>17</v>
      </c>
      <c r="E637" s="5" t="s">
        <v>25</v>
      </c>
      <c r="F637" s="4" t="s">
        <v>2091</v>
      </c>
      <c r="G637" s="9" t="s">
        <v>51</v>
      </c>
      <c r="H637" s="32">
        <v>45309</v>
      </c>
      <c r="I637" s="33">
        <v>45330</v>
      </c>
      <c r="J637" s="4" t="s">
        <v>503</v>
      </c>
      <c r="K637" s="6">
        <v>45330</v>
      </c>
      <c r="N637" s="4" t="s">
        <v>73</v>
      </c>
      <c r="O637" s="6">
        <v>45282</v>
      </c>
      <c r="P637" s="11">
        <v>45353</v>
      </c>
      <c r="Q637" s="9">
        <f ca="1">IF(P637="",TODAY()-O637,P637-O637)</f>
        <v>71</v>
      </c>
      <c r="S637" s="5" t="s">
        <v>27</v>
      </c>
      <c r="T637" s="4" t="s">
        <v>2024</v>
      </c>
      <c r="U637" s="5" t="s">
        <v>30</v>
      </c>
      <c r="W637" s="5" t="s">
        <v>38</v>
      </c>
      <c r="X637" s="38" t="s">
        <v>2064</v>
      </c>
      <c r="Y637" s="44">
        <v>45330</v>
      </c>
      <c r="Z637" s="7" t="s">
        <v>2134</v>
      </c>
    </row>
    <row r="638" spans="1:26" ht="30" x14ac:dyDescent="0.25">
      <c r="A638" s="7" t="s">
        <v>1804</v>
      </c>
      <c r="B638" s="7" t="s">
        <v>1071</v>
      </c>
      <c r="C638" s="5" t="s">
        <v>12</v>
      </c>
      <c r="D638" s="4" t="s">
        <v>17</v>
      </c>
      <c r="E638" s="5" t="s">
        <v>24</v>
      </c>
      <c r="F638" s="46" t="s">
        <v>2427</v>
      </c>
      <c r="G638" s="9" t="s">
        <v>51</v>
      </c>
      <c r="H638" s="32">
        <v>45194</v>
      </c>
      <c r="I638" s="33">
        <v>45230</v>
      </c>
      <c r="J638" s="4" t="s">
        <v>503</v>
      </c>
      <c r="K638" s="6">
        <v>45252</v>
      </c>
      <c r="L638" s="56"/>
      <c r="M638" s="56"/>
      <c r="N638" s="4" t="s">
        <v>73</v>
      </c>
      <c r="O638" s="6">
        <v>45289</v>
      </c>
      <c r="P638" s="11">
        <v>45399</v>
      </c>
      <c r="Q638" s="9">
        <f ca="1">IF(P638="",TODAY()-O638,P638-O638)</f>
        <v>110</v>
      </c>
      <c r="R638" s="4" t="s">
        <v>41</v>
      </c>
      <c r="S638" s="5" t="s">
        <v>28</v>
      </c>
      <c r="T638" s="4" t="s">
        <v>112</v>
      </c>
      <c r="U638" s="5" t="s">
        <v>30</v>
      </c>
      <c r="W638" s="5" t="s">
        <v>39</v>
      </c>
      <c r="X638" s="38" t="s">
        <v>1805</v>
      </c>
      <c r="Y638" s="44">
        <v>45194</v>
      </c>
      <c r="Z638" s="7" t="s">
        <v>2429</v>
      </c>
    </row>
    <row r="639" spans="1:26" x14ac:dyDescent="0.25">
      <c r="A639" s="7" t="s">
        <v>2563</v>
      </c>
      <c r="B639" s="7" t="s">
        <v>1071</v>
      </c>
      <c r="C639" s="5" t="s">
        <v>12</v>
      </c>
      <c r="D639" s="4" t="s">
        <v>174</v>
      </c>
      <c r="E639" s="5" t="s">
        <v>25</v>
      </c>
      <c r="F639" s="4" t="s">
        <v>384</v>
      </c>
      <c r="K639" s="6">
        <v>45289</v>
      </c>
      <c r="L639" s="7" t="s">
        <v>2016</v>
      </c>
      <c r="M639" s="7" t="s">
        <v>2016</v>
      </c>
      <c r="O639" s="6">
        <v>45289</v>
      </c>
      <c r="P639" s="11">
        <v>45289</v>
      </c>
      <c r="Q639" s="9">
        <f ca="1">IF(P639="",TODAY()-O639,P639-O639)</f>
        <v>0</v>
      </c>
      <c r="R639" s="4" t="s">
        <v>2039</v>
      </c>
      <c r="S639" s="5" t="s">
        <v>631</v>
      </c>
      <c r="U639" s="5" t="s">
        <v>29</v>
      </c>
      <c r="V639" s="4">
        <v>1041</v>
      </c>
      <c r="W639" s="5" t="s">
        <v>1460</v>
      </c>
    </row>
    <row r="640" spans="1:26" x14ac:dyDescent="0.25">
      <c r="A640" s="7" t="s">
        <v>1979</v>
      </c>
      <c r="B640" s="7" t="s">
        <v>1071</v>
      </c>
      <c r="C640" s="5" t="s">
        <v>1980</v>
      </c>
      <c r="D640" s="4" t="s">
        <v>18</v>
      </c>
      <c r="E640" s="5" t="s">
        <v>24</v>
      </c>
      <c r="F640" s="11">
        <v>44542</v>
      </c>
      <c r="N640" s="4" t="s">
        <v>73</v>
      </c>
      <c r="O640" s="6">
        <v>45293</v>
      </c>
      <c r="P640" s="11">
        <v>45311</v>
      </c>
      <c r="Q640" s="9">
        <f ca="1">IF(P640="",TODAY()-O640,P640-O640)</f>
        <v>18</v>
      </c>
      <c r="R640" s="4" t="s">
        <v>41</v>
      </c>
      <c r="S640" s="5" t="s">
        <v>27</v>
      </c>
      <c r="T640" s="4" t="s">
        <v>115</v>
      </c>
      <c r="U640" s="5" t="s">
        <v>32</v>
      </c>
      <c r="W640" s="5" t="s">
        <v>39</v>
      </c>
      <c r="X640" s="38" t="s">
        <v>1982</v>
      </c>
    </row>
    <row r="641" spans="1:26" x14ac:dyDescent="0.25">
      <c r="A641" s="28" t="s">
        <v>2217</v>
      </c>
      <c r="B641" s="28" t="s">
        <v>1071</v>
      </c>
      <c r="C641" s="14" t="s">
        <v>12</v>
      </c>
      <c r="D641" s="13" t="s">
        <v>14</v>
      </c>
      <c r="E641" s="14" t="s">
        <v>25</v>
      </c>
      <c r="F641" s="13" t="s">
        <v>1870</v>
      </c>
      <c r="G641" s="15" t="s">
        <v>51</v>
      </c>
      <c r="H641" s="35">
        <v>45348</v>
      </c>
      <c r="I641" s="34">
        <v>45371</v>
      </c>
      <c r="J641" s="13" t="s">
        <v>101</v>
      </c>
      <c r="K641" s="16">
        <v>45348</v>
      </c>
      <c r="L641" s="28"/>
      <c r="M641" s="28"/>
      <c r="N641" s="13" t="s">
        <v>73</v>
      </c>
      <c r="O641" s="16">
        <v>45297</v>
      </c>
      <c r="P641" s="36">
        <v>45395</v>
      </c>
      <c r="Q641" s="9">
        <f ca="1">IF(P641="",TODAY()-O641,P641-O641)</f>
        <v>98</v>
      </c>
      <c r="R641" s="13" t="s">
        <v>41</v>
      </c>
      <c r="S641" s="14" t="s">
        <v>26</v>
      </c>
      <c r="T641" s="13" t="s">
        <v>38</v>
      </c>
      <c r="U641" s="14" t="s">
        <v>31</v>
      </c>
      <c r="V641" s="13"/>
      <c r="W641" s="14" t="s">
        <v>39</v>
      </c>
      <c r="X641" s="39" t="s">
        <v>2218</v>
      </c>
      <c r="Y641" s="59">
        <v>45348</v>
      </c>
      <c r="Z641" s="28" t="s">
        <v>2219</v>
      </c>
    </row>
    <row r="642" spans="1:26" ht="19.5" customHeight="1" x14ac:dyDescent="0.25">
      <c r="A642" s="7" t="s">
        <v>2074</v>
      </c>
      <c r="B642" s="7" t="s">
        <v>1071</v>
      </c>
      <c r="C642" s="5" t="s">
        <v>12</v>
      </c>
      <c r="D642" s="4" t="s">
        <v>127</v>
      </c>
      <c r="E642" s="5" t="s">
        <v>23</v>
      </c>
      <c r="F642" s="4" t="s">
        <v>2002</v>
      </c>
      <c r="G642" s="9" t="s">
        <v>51</v>
      </c>
      <c r="H642" s="32">
        <v>45344</v>
      </c>
      <c r="I642" s="33">
        <v>45371</v>
      </c>
      <c r="J642" s="4" t="s">
        <v>101</v>
      </c>
      <c r="K642" s="6">
        <v>45427</v>
      </c>
      <c r="N642" s="4" t="s">
        <v>73</v>
      </c>
      <c r="O642" s="6">
        <v>45297</v>
      </c>
      <c r="P642" s="11">
        <v>45514</v>
      </c>
      <c r="Q642" s="9">
        <f ca="1">IF(P642="",TODAY()-O642,P642-O642)</f>
        <v>217</v>
      </c>
      <c r="R642" s="4" t="s">
        <v>41</v>
      </c>
      <c r="S642" s="5" t="s">
        <v>26</v>
      </c>
      <c r="T642" s="4" t="s">
        <v>2624</v>
      </c>
      <c r="U642" s="5" t="s">
        <v>30</v>
      </c>
      <c r="V642" s="4">
        <v>1076</v>
      </c>
      <c r="W642" s="5" t="s">
        <v>39</v>
      </c>
      <c r="X642" s="38" t="s">
        <v>2620</v>
      </c>
      <c r="Y642" s="44">
        <v>45344</v>
      </c>
      <c r="Z642" s="7" t="s">
        <v>2169</v>
      </c>
    </row>
    <row r="643" spans="1:26" ht="19.5" customHeight="1" x14ac:dyDescent="0.25">
      <c r="A643" s="7" t="s">
        <v>2075</v>
      </c>
      <c r="B643" s="7" t="s">
        <v>1071</v>
      </c>
      <c r="C643" s="5" t="s">
        <v>12</v>
      </c>
      <c r="D643" s="4" t="s">
        <v>127</v>
      </c>
      <c r="E643" s="5" t="s">
        <v>23</v>
      </c>
      <c r="F643" s="4" t="s">
        <v>2002</v>
      </c>
      <c r="G643" s="9" t="s">
        <v>51</v>
      </c>
      <c r="H643" s="32">
        <v>45344</v>
      </c>
      <c r="I643" s="33">
        <v>45371</v>
      </c>
      <c r="J643" s="4" t="s">
        <v>101</v>
      </c>
      <c r="K643" s="6">
        <v>45427</v>
      </c>
      <c r="N643" s="4" t="s">
        <v>73</v>
      </c>
      <c r="O643" s="6">
        <v>45297</v>
      </c>
      <c r="P643" s="11">
        <v>45514</v>
      </c>
      <c r="Q643" s="9">
        <f ca="1">IF(P643="",TODAY()-O643,P643-O643)</f>
        <v>217</v>
      </c>
      <c r="R643" s="4" t="s">
        <v>41</v>
      </c>
      <c r="S643" s="5" t="s">
        <v>26</v>
      </c>
      <c r="T643" s="4" t="s">
        <v>2624</v>
      </c>
      <c r="U643" s="5" t="s">
        <v>30</v>
      </c>
      <c r="V643" s="4">
        <v>1077</v>
      </c>
      <c r="W643" s="5" t="s">
        <v>39</v>
      </c>
      <c r="X643" s="38" t="s">
        <v>2168</v>
      </c>
      <c r="Y643" s="44">
        <v>45344</v>
      </c>
      <c r="Z643" s="7" t="s">
        <v>2169</v>
      </c>
    </row>
    <row r="644" spans="1:26" ht="30" x14ac:dyDescent="0.25">
      <c r="A644" s="28" t="s">
        <v>1890</v>
      </c>
      <c r="B644" s="28" t="s">
        <v>1071</v>
      </c>
      <c r="C644" s="14" t="s">
        <v>12</v>
      </c>
      <c r="D644" s="13" t="s">
        <v>17</v>
      </c>
      <c r="E644" s="14" t="s">
        <v>22</v>
      </c>
      <c r="F644" s="13" t="s">
        <v>1889</v>
      </c>
      <c r="G644" s="15"/>
      <c r="H644" s="31"/>
      <c r="I644" s="15"/>
      <c r="J644" s="13"/>
      <c r="K644" s="14"/>
      <c r="L644" s="28"/>
      <c r="M644" s="28"/>
      <c r="N644" s="13" t="s">
        <v>9</v>
      </c>
      <c r="O644" s="16">
        <v>45298</v>
      </c>
      <c r="P644" s="36">
        <v>45299</v>
      </c>
      <c r="Q644" s="9">
        <f ca="1">IF(P644="",TODAY()-O644,P644-O644)</f>
        <v>1</v>
      </c>
      <c r="R644" s="13" t="s">
        <v>42</v>
      </c>
      <c r="S644" s="14" t="s">
        <v>1739</v>
      </c>
      <c r="T644" s="13"/>
      <c r="U644" s="14" t="s">
        <v>29</v>
      </c>
      <c r="V644" s="13">
        <v>1024</v>
      </c>
      <c r="W644" s="14" t="s">
        <v>39</v>
      </c>
      <c r="X644" s="39"/>
      <c r="Y644" s="43"/>
      <c r="Z644" s="17" t="s">
        <v>1893</v>
      </c>
    </row>
    <row r="645" spans="1:26" ht="14.25" customHeight="1" x14ac:dyDescent="0.25">
      <c r="A645" s="7" t="s">
        <v>1891</v>
      </c>
      <c r="B645" s="7" t="s">
        <v>1071</v>
      </c>
      <c r="C645" s="5" t="s">
        <v>12</v>
      </c>
      <c r="D645" s="4" t="s">
        <v>311</v>
      </c>
      <c r="E645" s="5" t="s">
        <v>23</v>
      </c>
      <c r="F645" s="4" t="s">
        <v>1892</v>
      </c>
      <c r="N645" s="4" t="s">
        <v>73</v>
      </c>
      <c r="O645" s="6">
        <v>45298</v>
      </c>
      <c r="P645" s="11">
        <v>45313</v>
      </c>
      <c r="Q645" s="9">
        <f ca="1">IF(P645="",TODAY()-O645,P645-O645)</f>
        <v>15</v>
      </c>
      <c r="R645" s="4" t="s">
        <v>43</v>
      </c>
      <c r="S645" s="5" t="s">
        <v>121</v>
      </c>
      <c r="T645" s="4" t="s">
        <v>112</v>
      </c>
      <c r="U645" s="5" t="s">
        <v>31</v>
      </c>
      <c r="Z645" s="7" t="s">
        <v>1894</v>
      </c>
    </row>
    <row r="646" spans="1:26" ht="30" x14ac:dyDescent="0.25">
      <c r="A646" s="28" t="s">
        <v>1898</v>
      </c>
      <c r="B646" s="28" t="s">
        <v>1071</v>
      </c>
      <c r="C646" s="14" t="s">
        <v>12</v>
      </c>
      <c r="D646" s="13" t="s">
        <v>14</v>
      </c>
      <c r="E646" s="14" t="s">
        <v>24</v>
      </c>
      <c r="F646" s="58" t="s">
        <v>2171</v>
      </c>
      <c r="G646" s="15" t="s">
        <v>51</v>
      </c>
      <c r="H646" s="35">
        <v>45243</v>
      </c>
      <c r="I646" s="34">
        <v>45271</v>
      </c>
      <c r="J646" s="13" t="s">
        <v>102</v>
      </c>
      <c r="K646" s="16">
        <v>45338</v>
      </c>
      <c r="L646" s="28" t="s">
        <v>2016</v>
      </c>
      <c r="M646" s="28" t="s">
        <v>2016</v>
      </c>
      <c r="N646" s="13" t="s">
        <v>73</v>
      </c>
      <c r="O646" s="16">
        <v>45299</v>
      </c>
      <c r="P646" s="36">
        <v>45447</v>
      </c>
      <c r="Q646" s="9">
        <f ca="1">IF(P646="",TODAY()-O646,P646-O646)</f>
        <v>148</v>
      </c>
      <c r="R646" s="13" t="s">
        <v>41</v>
      </c>
      <c r="S646" s="14" t="s">
        <v>27</v>
      </c>
      <c r="T646" s="13" t="s">
        <v>112</v>
      </c>
      <c r="U646" s="14" t="s">
        <v>30</v>
      </c>
      <c r="V646" s="13">
        <v>1046</v>
      </c>
      <c r="W646" s="14" t="s">
        <v>112</v>
      </c>
      <c r="X646" s="64" t="s">
        <v>2170</v>
      </c>
      <c r="Y646" s="60" t="s">
        <v>2125</v>
      </c>
      <c r="Z646" s="28" t="s">
        <v>2126</v>
      </c>
    </row>
    <row r="647" spans="1:26" x14ac:dyDescent="0.25">
      <c r="A647" s="7" t="s">
        <v>1895</v>
      </c>
      <c r="B647" s="7" t="s">
        <v>1071</v>
      </c>
      <c r="C647" s="5" t="s">
        <v>28</v>
      </c>
      <c r="D647" s="4" t="s">
        <v>654</v>
      </c>
      <c r="E647" s="5" t="s">
        <v>24</v>
      </c>
      <c r="F647" s="4" t="s">
        <v>547</v>
      </c>
      <c r="G647" s="9" t="s">
        <v>51</v>
      </c>
      <c r="H647" s="32">
        <v>45344</v>
      </c>
      <c r="I647" s="33">
        <v>45371</v>
      </c>
      <c r="J647" s="4" t="s">
        <v>101</v>
      </c>
      <c r="K647" s="6">
        <v>45426</v>
      </c>
      <c r="N647" s="4" t="s">
        <v>73</v>
      </c>
      <c r="O647" s="6">
        <v>45299</v>
      </c>
      <c r="P647" s="11">
        <v>45536</v>
      </c>
      <c r="Q647" s="9">
        <f ca="1">IF(P647="",TODAY()-O647,P647-O647)</f>
        <v>237</v>
      </c>
      <c r="R647" s="4" t="s">
        <v>41</v>
      </c>
      <c r="S647" s="5" t="s">
        <v>27</v>
      </c>
      <c r="T647" s="4" t="s">
        <v>132</v>
      </c>
      <c r="U647" s="5" t="s">
        <v>31</v>
      </c>
      <c r="W647" s="5" t="s">
        <v>39</v>
      </c>
      <c r="X647" s="38" t="s">
        <v>2670</v>
      </c>
      <c r="Y647" s="44">
        <v>45344</v>
      </c>
      <c r="Z647" s="7" t="s">
        <v>2671</v>
      </c>
    </row>
    <row r="648" spans="1:26" x14ac:dyDescent="0.25">
      <c r="A648" s="7" t="s">
        <v>1896</v>
      </c>
      <c r="B648" s="7" t="s">
        <v>1071</v>
      </c>
      <c r="C648" s="5" t="s">
        <v>12</v>
      </c>
      <c r="D648" s="4" t="s">
        <v>18</v>
      </c>
      <c r="E648" s="5" t="s">
        <v>24</v>
      </c>
      <c r="F648" s="4" t="s">
        <v>1897</v>
      </c>
      <c r="G648" s="9" t="s">
        <v>51</v>
      </c>
      <c r="N648" s="4" t="s">
        <v>74</v>
      </c>
      <c r="O648" s="6">
        <v>45299</v>
      </c>
      <c r="Q648" s="9">
        <f ca="1">IF(P648="",TODAY()-O648,P648-O648)</f>
        <v>270</v>
      </c>
      <c r="S648" s="5" t="s">
        <v>27</v>
      </c>
      <c r="T648" s="4" t="s">
        <v>809</v>
      </c>
      <c r="U648" s="5" t="s">
        <v>30</v>
      </c>
      <c r="W648" s="5" t="s">
        <v>39</v>
      </c>
      <c r="Z648" s="7" t="s">
        <v>1944</v>
      </c>
    </row>
    <row r="649" spans="1:26" x14ac:dyDescent="0.25">
      <c r="A649" s="7" t="s">
        <v>2046</v>
      </c>
      <c r="B649" s="7" t="s">
        <v>1071</v>
      </c>
      <c r="C649" s="5" t="s">
        <v>12</v>
      </c>
      <c r="D649" s="4" t="s">
        <v>20</v>
      </c>
      <c r="E649" s="5" t="s">
        <v>22</v>
      </c>
      <c r="F649" s="4" t="s">
        <v>583</v>
      </c>
      <c r="G649" s="9" t="s">
        <v>51</v>
      </c>
      <c r="H649" s="32">
        <v>45300</v>
      </c>
      <c r="I649" s="33">
        <v>45320</v>
      </c>
      <c r="J649" s="4" t="s">
        <v>101</v>
      </c>
      <c r="N649" s="4" t="s">
        <v>73</v>
      </c>
      <c r="O649" s="6">
        <v>45300</v>
      </c>
      <c r="P649" s="11">
        <v>45342</v>
      </c>
      <c r="Q649" s="9">
        <f ca="1">IF(P649="",TODAY()-O649,P649-O649)</f>
        <v>42</v>
      </c>
      <c r="R649" s="4" t="s">
        <v>41</v>
      </c>
      <c r="S649" s="5" t="s">
        <v>26</v>
      </c>
      <c r="T649" s="4" t="s">
        <v>112</v>
      </c>
      <c r="U649" s="5" t="s">
        <v>31</v>
      </c>
      <c r="W649" s="5" t="s">
        <v>39</v>
      </c>
      <c r="X649" s="38" t="s">
        <v>2045</v>
      </c>
      <c r="Y649" s="44">
        <v>45300</v>
      </c>
      <c r="Z649" s="7" t="s">
        <v>2048</v>
      </c>
    </row>
    <row r="650" spans="1:26" x14ac:dyDescent="0.25">
      <c r="A650" s="7" t="s">
        <v>1971</v>
      </c>
      <c r="B650" s="7" t="s">
        <v>1071</v>
      </c>
      <c r="C650" s="5" t="s">
        <v>12</v>
      </c>
      <c r="D650" s="4" t="s">
        <v>14</v>
      </c>
      <c r="E650" s="5" t="s">
        <v>24</v>
      </c>
      <c r="F650" s="4" t="s">
        <v>384</v>
      </c>
      <c r="K650" s="6">
        <v>45303</v>
      </c>
      <c r="L650" s="56"/>
      <c r="M650" s="56"/>
      <c r="N650" s="4" t="s">
        <v>73</v>
      </c>
      <c r="O650" s="6">
        <v>45301</v>
      </c>
      <c r="P650" s="11">
        <v>45304</v>
      </c>
      <c r="Q650" s="9">
        <f ca="1">IF(P650="",TODAY()-O650,P650-O650)</f>
        <v>3</v>
      </c>
      <c r="R650" s="4" t="s">
        <v>896</v>
      </c>
      <c r="S650" s="5" t="s">
        <v>631</v>
      </c>
      <c r="T650" s="4" t="s">
        <v>38</v>
      </c>
      <c r="U650" s="5" t="s">
        <v>30</v>
      </c>
      <c r="W650" s="5" t="s">
        <v>38</v>
      </c>
      <c r="Z650" s="7" t="s">
        <v>1986</v>
      </c>
    </row>
    <row r="651" spans="1:26" x14ac:dyDescent="0.25">
      <c r="A651" s="7" t="s">
        <v>1972</v>
      </c>
      <c r="B651" s="7" t="s">
        <v>1071</v>
      </c>
      <c r="C651" s="5" t="s">
        <v>12</v>
      </c>
      <c r="D651" s="4" t="s">
        <v>15</v>
      </c>
      <c r="E651" s="5" t="s">
        <v>25</v>
      </c>
      <c r="F651" s="4" t="s">
        <v>1973</v>
      </c>
      <c r="K651" s="6">
        <v>45306</v>
      </c>
      <c r="L651" s="56"/>
      <c r="M651" s="56"/>
      <c r="N651" s="4" t="s">
        <v>73</v>
      </c>
      <c r="O651" s="6">
        <v>45301</v>
      </c>
      <c r="P651" s="11">
        <v>45311</v>
      </c>
      <c r="Q651" s="9">
        <f ca="1">IF(P651="",TODAY()-O651,P651-O651)</f>
        <v>10</v>
      </c>
      <c r="R651" s="4" t="s">
        <v>896</v>
      </c>
      <c r="S651" s="5" t="s">
        <v>631</v>
      </c>
      <c r="T651" s="4" t="s">
        <v>38</v>
      </c>
      <c r="U651" s="5" t="s">
        <v>30</v>
      </c>
      <c r="W651" s="5" t="s">
        <v>38</v>
      </c>
    </row>
    <row r="652" spans="1:26" x14ac:dyDescent="0.25">
      <c r="A652" s="7" t="s">
        <v>1972</v>
      </c>
      <c r="B652" s="7" t="s">
        <v>1071</v>
      </c>
      <c r="C652" s="5" t="s">
        <v>12</v>
      </c>
      <c r="D652" s="4" t="s">
        <v>15</v>
      </c>
      <c r="E652" s="5" t="s">
        <v>25</v>
      </c>
      <c r="F652" s="4" t="s">
        <v>1973</v>
      </c>
      <c r="K652" s="6">
        <v>45306</v>
      </c>
      <c r="L652" s="56"/>
      <c r="M652" s="56"/>
      <c r="N652" s="4" t="s">
        <v>73</v>
      </c>
      <c r="O652" s="6">
        <v>45301</v>
      </c>
      <c r="P652" s="11">
        <v>45311</v>
      </c>
      <c r="Q652" s="9">
        <f ca="1">IF(P652="",TODAY()-O652,P652-O652)</f>
        <v>10</v>
      </c>
      <c r="R652" s="4" t="s">
        <v>896</v>
      </c>
      <c r="S652" s="5" t="s">
        <v>631</v>
      </c>
      <c r="T652" s="4" t="s">
        <v>38</v>
      </c>
      <c r="U652" s="5" t="s">
        <v>30</v>
      </c>
      <c r="W652" s="5" t="s">
        <v>38</v>
      </c>
    </row>
    <row r="653" spans="1:26" x14ac:dyDescent="0.25">
      <c r="A653" s="7" t="s">
        <v>1974</v>
      </c>
      <c r="B653" s="7" t="s">
        <v>1071</v>
      </c>
      <c r="C653" s="5" t="s">
        <v>12</v>
      </c>
      <c r="D653" s="4" t="s">
        <v>14</v>
      </c>
      <c r="E653" s="5" t="s">
        <v>24</v>
      </c>
      <c r="F653" s="4" t="s">
        <v>384</v>
      </c>
      <c r="K653" s="6">
        <v>45303</v>
      </c>
      <c r="L653" s="56"/>
      <c r="M653" s="56"/>
      <c r="N653" s="4" t="s">
        <v>73</v>
      </c>
      <c r="O653" s="6">
        <v>45301</v>
      </c>
      <c r="P653" s="11">
        <v>45304</v>
      </c>
      <c r="Q653" s="9">
        <f ca="1">IF(P653="",TODAY()-O653,P653-O653)</f>
        <v>3</v>
      </c>
      <c r="R653" s="4" t="s">
        <v>896</v>
      </c>
      <c r="S653" s="5" t="s">
        <v>631</v>
      </c>
      <c r="T653" s="4" t="s">
        <v>38</v>
      </c>
      <c r="U653" s="5" t="s">
        <v>30</v>
      </c>
      <c r="W653" s="5" t="s">
        <v>38</v>
      </c>
      <c r="Z653" s="7" t="s">
        <v>1987</v>
      </c>
    </row>
    <row r="654" spans="1:26" x14ac:dyDescent="0.25">
      <c r="A654" s="7" t="s">
        <v>975</v>
      </c>
      <c r="B654" s="7" t="s">
        <v>1071</v>
      </c>
      <c r="C654" s="5" t="s">
        <v>12</v>
      </c>
      <c r="K654" s="6">
        <v>45306</v>
      </c>
      <c r="L654" s="56"/>
      <c r="M654" s="56"/>
      <c r="N654" s="4" t="s">
        <v>73</v>
      </c>
      <c r="O654" s="6">
        <v>45301</v>
      </c>
      <c r="P654" s="11">
        <v>45307</v>
      </c>
      <c r="Q654" s="9">
        <f ca="1">IF(P654="",TODAY()-O654,P654-O654)</f>
        <v>6</v>
      </c>
      <c r="R654" s="4" t="s">
        <v>896</v>
      </c>
      <c r="S654" s="5" t="s">
        <v>631</v>
      </c>
      <c r="T654" s="4" t="s">
        <v>38</v>
      </c>
      <c r="U654" s="5" t="s">
        <v>31</v>
      </c>
      <c r="W654" s="5" t="s">
        <v>38</v>
      </c>
    </row>
    <row r="655" spans="1:26" x14ac:dyDescent="0.25">
      <c r="A655" s="7" t="s">
        <v>1988</v>
      </c>
      <c r="B655" s="7" t="s">
        <v>1071</v>
      </c>
      <c r="C655" s="5" t="s">
        <v>12</v>
      </c>
      <c r="D655" s="4" t="s">
        <v>17</v>
      </c>
      <c r="E655" s="5" t="s">
        <v>24</v>
      </c>
      <c r="F655" s="4" t="s">
        <v>1989</v>
      </c>
      <c r="G655" s="9" t="s">
        <v>50</v>
      </c>
      <c r="H655" s="32">
        <v>45314</v>
      </c>
      <c r="J655" s="4" t="s">
        <v>503</v>
      </c>
      <c r="K655" s="6">
        <v>45314</v>
      </c>
      <c r="L655" s="7" t="s">
        <v>2016</v>
      </c>
      <c r="M655" s="7" t="s">
        <v>2016</v>
      </c>
      <c r="N655" s="4" t="s">
        <v>73</v>
      </c>
      <c r="O655" s="6">
        <v>45303</v>
      </c>
      <c r="P655" s="11">
        <v>45322</v>
      </c>
      <c r="Q655" s="9">
        <f ca="1">IF(P655="",TODAY()-O655,P655-O655)</f>
        <v>19</v>
      </c>
      <c r="R655" s="4" t="s">
        <v>43</v>
      </c>
      <c r="S655" s="5" t="s">
        <v>631</v>
      </c>
      <c r="T655" s="4" t="s">
        <v>38</v>
      </c>
      <c r="U655" s="5" t="s">
        <v>30</v>
      </c>
      <c r="W655" s="5" t="s">
        <v>38</v>
      </c>
      <c r="X655" s="38" t="s">
        <v>2121</v>
      </c>
      <c r="Y655" s="44">
        <v>45315</v>
      </c>
      <c r="Z655" s="7" t="s">
        <v>2122</v>
      </c>
    </row>
    <row r="656" spans="1:26" x14ac:dyDescent="0.25">
      <c r="A656" s="7" t="s">
        <v>1994</v>
      </c>
      <c r="B656" s="7" t="s">
        <v>1071</v>
      </c>
      <c r="C656" s="5" t="s">
        <v>12</v>
      </c>
      <c r="D656" s="4" t="s">
        <v>20</v>
      </c>
      <c r="E656" s="5" t="s">
        <v>25</v>
      </c>
      <c r="F656" s="4" t="s">
        <v>384</v>
      </c>
      <c r="K656" s="6">
        <v>45309</v>
      </c>
      <c r="L656" s="56"/>
      <c r="M656" s="56"/>
      <c r="N656" s="4" t="s">
        <v>73</v>
      </c>
      <c r="O656" s="6">
        <v>45308</v>
      </c>
      <c r="P656" s="11">
        <v>45310</v>
      </c>
      <c r="Q656" s="9">
        <f ca="1">IF(P656="",TODAY()-O656,P656-O656)</f>
        <v>2</v>
      </c>
      <c r="R656" s="4" t="s">
        <v>896</v>
      </c>
      <c r="S656" s="5" t="s">
        <v>631</v>
      </c>
      <c r="T656" s="4" t="s">
        <v>38</v>
      </c>
      <c r="U656" s="5" t="s">
        <v>30</v>
      </c>
      <c r="W656" s="5" t="s">
        <v>38</v>
      </c>
    </row>
    <row r="657" spans="1:26" x14ac:dyDescent="0.25">
      <c r="A657" s="7" t="s">
        <v>2078</v>
      </c>
      <c r="B657" s="7" t="s">
        <v>1071</v>
      </c>
      <c r="C657" s="5" t="s">
        <v>12</v>
      </c>
      <c r="D657" s="4" t="s">
        <v>17</v>
      </c>
      <c r="E657" s="5" t="s">
        <v>24</v>
      </c>
      <c r="F657" s="4" t="s">
        <v>384</v>
      </c>
      <c r="G657" s="9" t="s">
        <v>51</v>
      </c>
      <c r="H657" s="32">
        <v>45329</v>
      </c>
      <c r="I657" s="33">
        <v>45350</v>
      </c>
      <c r="J657" s="4" t="s">
        <v>503</v>
      </c>
      <c r="K657" s="6">
        <v>45342</v>
      </c>
      <c r="L657" s="7" t="s">
        <v>2016</v>
      </c>
      <c r="M657" s="7" t="s">
        <v>2016</v>
      </c>
      <c r="N657" s="4" t="s">
        <v>73</v>
      </c>
      <c r="O657" s="6">
        <v>45310</v>
      </c>
      <c r="P657" s="11">
        <v>45371</v>
      </c>
      <c r="Q657" s="9">
        <f ca="1">IF(P657="",TODAY()-O657,P657-O657)</f>
        <v>61</v>
      </c>
      <c r="R657" s="4" t="s">
        <v>41</v>
      </c>
      <c r="S657" s="5" t="s">
        <v>1739</v>
      </c>
      <c r="T657" s="4" t="s">
        <v>38</v>
      </c>
      <c r="U657" s="5" t="s">
        <v>30</v>
      </c>
      <c r="W657" s="5" t="s">
        <v>38</v>
      </c>
      <c r="X657" s="38" t="s">
        <v>2124</v>
      </c>
      <c r="Y657" s="44">
        <v>45342</v>
      </c>
      <c r="Z657" s="7" t="s">
        <v>2164</v>
      </c>
    </row>
    <row r="658" spans="1:26" x14ac:dyDescent="0.25">
      <c r="A658" s="7" t="s">
        <v>2179</v>
      </c>
      <c r="B658" s="7" t="s">
        <v>1071</v>
      </c>
      <c r="C658" s="5" t="s">
        <v>12</v>
      </c>
      <c r="D658" s="4" t="s">
        <v>20</v>
      </c>
      <c r="E658" s="5" t="s">
        <v>24</v>
      </c>
      <c r="F658" s="4" t="s">
        <v>867</v>
      </c>
      <c r="G658" s="9" t="s">
        <v>51</v>
      </c>
      <c r="H658" s="32">
        <v>45317</v>
      </c>
      <c r="I658" s="33">
        <v>45337</v>
      </c>
      <c r="K658" s="6">
        <v>45317</v>
      </c>
      <c r="L658" s="56"/>
      <c r="M658" s="56"/>
      <c r="N658" s="4" t="s">
        <v>73</v>
      </c>
      <c r="O658" s="6">
        <v>45315</v>
      </c>
      <c r="P658" s="11">
        <v>45425</v>
      </c>
      <c r="Q658" s="9">
        <f ca="1">IF(P658="",TODAY()-O658,P658-O658)</f>
        <v>110</v>
      </c>
      <c r="R658" s="4" t="s">
        <v>42</v>
      </c>
      <c r="S658" s="5" t="s">
        <v>27</v>
      </c>
      <c r="T658" s="4" t="s">
        <v>112</v>
      </c>
      <c r="U658" s="5" t="s">
        <v>31</v>
      </c>
      <c r="W658" s="5" t="s">
        <v>1993</v>
      </c>
      <c r="Y658" s="44">
        <v>45317</v>
      </c>
      <c r="Z658" s="7" t="s">
        <v>2270</v>
      </c>
    </row>
    <row r="659" spans="1:26" x14ac:dyDescent="0.25">
      <c r="A659" s="7" t="s">
        <v>2020</v>
      </c>
      <c r="B659" s="7" t="s">
        <v>1071</v>
      </c>
      <c r="C659" s="5" t="s">
        <v>12</v>
      </c>
      <c r="D659" s="4" t="s">
        <v>14</v>
      </c>
      <c r="E659" s="5" t="s">
        <v>24</v>
      </c>
      <c r="F659" s="4" t="s">
        <v>867</v>
      </c>
      <c r="G659" s="9" t="s">
        <v>51</v>
      </c>
      <c r="H659" s="32">
        <v>45317</v>
      </c>
      <c r="I659" s="33">
        <v>45337</v>
      </c>
      <c r="K659" s="6">
        <v>45317</v>
      </c>
      <c r="L659" s="56"/>
      <c r="M659" s="56"/>
      <c r="N659" s="4" t="s">
        <v>73</v>
      </c>
      <c r="O659" s="6">
        <v>45315</v>
      </c>
      <c r="P659" s="11">
        <v>45347</v>
      </c>
      <c r="Q659" s="9">
        <f ca="1">IF(P659="",TODAY()-O659,P659-O659)</f>
        <v>32</v>
      </c>
      <c r="R659" s="4" t="s">
        <v>43</v>
      </c>
      <c r="S659" s="5" t="s">
        <v>27</v>
      </c>
      <c r="T659" s="4" t="s">
        <v>112</v>
      </c>
      <c r="U659" s="5" t="s">
        <v>31</v>
      </c>
      <c r="W659" s="5" t="s">
        <v>1993</v>
      </c>
      <c r="Y659" s="44">
        <v>45317</v>
      </c>
      <c r="Z659" s="7" t="s">
        <v>2094</v>
      </c>
    </row>
    <row r="660" spans="1:26" x14ac:dyDescent="0.25">
      <c r="A660" s="7" t="s">
        <v>2060</v>
      </c>
      <c r="B660" s="7" t="s">
        <v>1071</v>
      </c>
      <c r="C660" s="5" t="s">
        <v>12</v>
      </c>
      <c r="D660" s="4" t="s">
        <v>17</v>
      </c>
      <c r="E660" s="5" t="s">
        <v>25</v>
      </c>
      <c r="F660" s="4" t="s">
        <v>600</v>
      </c>
      <c r="H660" s="32"/>
      <c r="K660" s="6"/>
      <c r="N660" s="4" t="s">
        <v>73</v>
      </c>
      <c r="O660" s="6">
        <v>45315</v>
      </c>
      <c r="P660" s="11">
        <v>45346</v>
      </c>
      <c r="Q660" s="9">
        <f ca="1">IF(P660="",TODAY()-O660,P660-O660)</f>
        <v>31</v>
      </c>
      <c r="R660" s="4" t="s">
        <v>431</v>
      </c>
      <c r="S660" s="5" t="s">
        <v>27</v>
      </c>
      <c r="T660" s="4" t="s">
        <v>38</v>
      </c>
      <c r="U660" s="5" t="s">
        <v>30</v>
      </c>
      <c r="W660" s="5" t="s">
        <v>38</v>
      </c>
      <c r="Y660" s="44"/>
      <c r="Z660" s="7" t="s">
        <v>2061</v>
      </c>
    </row>
    <row r="661" spans="1:26" x14ac:dyDescent="0.25">
      <c r="A661" s="7" t="s">
        <v>2069</v>
      </c>
      <c r="B661" s="7" t="s">
        <v>1071</v>
      </c>
      <c r="C661" s="5" t="s">
        <v>12</v>
      </c>
      <c r="D661" s="4" t="s">
        <v>17</v>
      </c>
      <c r="E661" s="5" t="s">
        <v>25</v>
      </c>
      <c r="F661" s="4" t="s">
        <v>571</v>
      </c>
      <c r="G661" s="9" t="s">
        <v>51</v>
      </c>
      <c r="H661" s="32">
        <v>45344</v>
      </c>
      <c r="I661" s="33">
        <v>45371</v>
      </c>
      <c r="J661" s="4" t="s">
        <v>101</v>
      </c>
      <c r="K661" s="6">
        <v>45428</v>
      </c>
      <c r="N661" s="4" t="s">
        <v>73</v>
      </c>
      <c r="O661" s="6">
        <v>45316</v>
      </c>
      <c r="P661" s="11">
        <v>45462</v>
      </c>
      <c r="Q661" s="9">
        <f ca="1">IF(P661="",TODAY()-O661,P661-O661)</f>
        <v>146</v>
      </c>
      <c r="R661" s="4" t="s">
        <v>41</v>
      </c>
      <c r="S661" s="5" t="s">
        <v>26</v>
      </c>
      <c r="T661" s="4" t="s">
        <v>38</v>
      </c>
      <c r="U661" s="5" t="s">
        <v>31</v>
      </c>
      <c r="W661" s="5" t="s">
        <v>38</v>
      </c>
      <c r="X661" s="38" t="s">
        <v>2314</v>
      </c>
      <c r="Y661" s="44">
        <v>45344</v>
      </c>
      <c r="Z661" s="7" t="s">
        <v>2315</v>
      </c>
    </row>
    <row r="662" spans="1:26" x14ac:dyDescent="0.25">
      <c r="A662" s="7" t="s">
        <v>1998</v>
      </c>
      <c r="B662" s="7" t="s">
        <v>1071</v>
      </c>
      <c r="C662" s="5" t="s">
        <v>12</v>
      </c>
      <c r="D662" s="4" t="s">
        <v>20</v>
      </c>
      <c r="E662" s="5" t="s">
        <v>22</v>
      </c>
      <c r="F662" s="4" t="s">
        <v>583</v>
      </c>
      <c r="G662" s="9" t="s">
        <v>50</v>
      </c>
      <c r="H662" s="32">
        <v>45366</v>
      </c>
      <c r="N662" s="4" t="s">
        <v>73</v>
      </c>
      <c r="O662" s="6">
        <v>45324</v>
      </c>
      <c r="Q662" s="9">
        <f ca="1">IF(P662="",TODAY()-O662,P662-O662)</f>
        <v>245</v>
      </c>
      <c r="S662" s="5" t="s">
        <v>26</v>
      </c>
      <c r="T662" s="4" t="s">
        <v>38</v>
      </c>
      <c r="U662" s="5" t="s">
        <v>30</v>
      </c>
      <c r="W662" s="5" t="s">
        <v>39</v>
      </c>
      <c r="Z662" s="7" t="s">
        <v>2019</v>
      </c>
    </row>
    <row r="663" spans="1:26" x14ac:dyDescent="0.25">
      <c r="A663" s="7" t="s">
        <v>1720</v>
      </c>
      <c r="B663" s="7" t="s">
        <v>1071</v>
      </c>
      <c r="C663" s="5" t="s">
        <v>12</v>
      </c>
      <c r="D663" s="4" t="s">
        <v>17</v>
      </c>
      <c r="E663" s="5" t="s">
        <v>2227</v>
      </c>
      <c r="F663" s="4" t="s">
        <v>384</v>
      </c>
      <c r="K663" s="6">
        <v>45328</v>
      </c>
      <c r="L663" s="7" t="s">
        <v>2016</v>
      </c>
      <c r="M663" s="7" t="s">
        <v>2016</v>
      </c>
      <c r="O663" s="6">
        <v>45328</v>
      </c>
      <c r="P663" s="11">
        <v>45328</v>
      </c>
      <c r="R663" s="4" t="s">
        <v>2039</v>
      </c>
      <c r="S663" s="5" t="s">
        <v>631</v>
      </c>
      <c r="U663" s="5" t="s">
        <v>30</v>
      </c>
      <c r="W663" s="5" t="s">
        <v>112</v>
      </c>
      <c r="Z663" s="7" t="s">
        <v>400</v>
      </c>
    </row>
    <row r="664" spans="1:26" x14ac:dyDescent="0.25">
      <c r="A664" s="7" t="s">
        <v>1747</v>
      </c>
      <c r="B664" s="7" t="s">
        <v>1071</v>
      </c>
      <c r="C664" s="5" t="s">
        <v>12</v>
      </c>
      <c r="D664" s="4" t="s">
        <v>20</v>
      </c>
      <c r="E664" s="5" t="s">
        <v>24</v>
      </c>
      <c r="F664" s="4" t="s">
        <v>384</v>
      </c>
      <c r="K664" s="6">
        <v>45328</v>
      </c>
      <c r="L664" s="7" t="s">
        <v>2016</v>
      </c>
      <c r="M664" s="7" t="s">
        <v>2016</v>
      </c>
      <c r="O664" s="6">
        <v>45328</v>
      </c>
      <c r="P664" s="11">
        <v>45328</v>
      </c>
      <c r="R664" s="4" t="s">
        <v>2039</v>
      </c>
      <c r="S664" s="5" t="s">
        <v>631</v>
      </c>
      <c r="U664" s="5" t="s">
        <v>30</v>
      </c>
      <c r="W664" s="5" t="s">
        <v>112</v>
      </c>
    </row>
    <row r="665" spans="1:26" x14ac:dyDescent="0.25">
      <c r="A665" s="7" t="s">
        <v>2569</v>
      </c>
      <c r="B665" s="7" t="s">
        <v>1071</v>
      </c>
      <c r="C665" s="5" t="s">
        <v>12</v>
      </c>
      <c r="D665" s="4" t="s">
        <v>16</v>
      </c>
      <c r="E665" s="5" t="s">
        <v>2228</v>
      </c>
      <c r="F665" s="4" t="s">
        <v>384</v>
      </c>
      <c r="L665" s="7" t="s">
        <v>2017</v>
      </c>
      <c r="M665" s="7" t="s">
        <v>2016</v>
      </c>
      <c r="O665" s="6">
        <v>45329</v>
      </c>
      <c r="P665" s="11">
        <v>45329</v>
      </c>
      <c r="Q665" s="9">
        <f ca="1">IF(P665="",TODAY()-O665,P665-O665)</f>
        <v>0</v>
      </c>
      <c r="R665" s="4" t="s">
        <v>42</v>
      </c>
      <c r="S665" s="5" t="s">
        <v>631</v>
      </c>
      <c r="W665" s="5" t="s">
        <v>112</v>
      </c>
    </row>
    <row r="666" spans="1:26" x14ac:dyDescent="0.25">
      <c r="A666" s="7" t="s">
        <v>2131</v>
      </c>
      <c r="B666" s="7" t="s">
        <v>1071</v>
      </c>
      <c r="C666" s="5" t="s">
        <v>12</v>
      </c>
      <c r="D666" s="4" t="s">
        <v>311</v>
      </c>
      <c r="E666" s="5" t="s">
        <v>24</v>
      </c>
      <c r="F666" s="4" t="s">
        <v>143</v>
      </c>
      <c r="G666" s="9" t="s">
        <v>51</v>
      </c>
      <c r="H666" s="32">
        <v>45348</v>
      </c>
      <c r="I666" s="33">
        <v>45371</v>
      </c>
      <c r="J666" s="4" t="s">
        <v>101</v>
      </c>
      <c r="K666" s="6">
        <v>45348</v>
      </c>
      <c r="N666" s="4" t="s">
        <v>73</v>
      </c>
      <c r="O666" s="6">
        <v>45331</v>
      </c>
      <c r="P666" s="11">
        <v>45436</v>
      </c>
      <c r="Q666" s="9">
        <f ca="1">IF(P666="",TODAY()-O666,P666-O666)</f>
        <v>105</v>
      </c>
      <c r="R666" s="4" t="s">
        <v>41</v>
      </c>
      <c r="S666" s="5" t="s">
        <v>26</v>
      </c>
      <c r="T666" s="4" t="s">
        <v>38</v>
      </c>
      <c r="U666" s="5" t="s">
        <v>31</v>
      </c>
      <c r="W666" s="5" t="s">
        <v>39</v>
      </c>
      <c r="X666" s="38" t="s">
        <v>2266</v>
      </c>
      <c r="Y666" s="44">
        <v>45348</v>
      </c>
      <c r="Z666" s="7" t="s">
        <v>2276</v>
      </c>
    </row>
    <row r="667" spans="1:26" x14ac:dyDescent="0.25">
      <c r="A667" s="7" t="s">
        <v>2068</v>
      </c>
      <c r="B667" s="7" t="s">
        <v>1071</v>
      </c>
      <c r="C667" s="5" t="s">
        <v>12</v>
      </c>
      <c r="D667" s="4" t="s">
        <v>17</v>
      </c>
      <c r="E667" s="5" t="s">
        <v>23</v>
      </c>
      <c r="F667" s="4" t="s">
        <v>542</v>
      </c>
      <c r="G667" s="9" t="s">
        <v>51</v>
      </c>
      <c r="H667" s="32">
        <v>45342</v>
      </c>
      <c r="I667" s="33">
        <v>45364</v>
      </c>
      <c r="J667" s="4" t="s">
        <v>101</v>
      </c>
      <c r="K667" s="6">
        <v>45342</v>
      </c>
      <c r="N667" s="4" t="s">
        <v>73</v>
      </c>
      <c r="O667" s="6">
        <v>45331</v>
      </c>
      <c r="P667" s="11">
        <v>45370</v>
      </c>
      <c r="Q667" s="9">
        <f ca="1">IF(P667="",TODAY()-O667,P667-O667)</f>
        <v>39</v>
      </c>
      <c r="R667" s="4" t="s">
        <v>41</v>
      </c>
      <c r="S667" s="5" t="s">
        <v>27</v>
      </c>
      <c r="T667" s="4" t="s">
        <v>112</v>
      </c>
      <c r="U667" s="5" t="s">
        <v>31</v>
      </c>
      <c r="W667" s="5" t="s">
        <v>1993</v>
      </c>
      <c r="X667" s="38" t="s">
        <v>2166</v>
      </c>
      <c r="Y667" s="44">
        <v>45342</v>
      </c>
      <c r="Z667" s="7" t="s">
        <v>2174</v>
      </c>
    </row>
    <row r="668" spans="1:26" x14ac:dyDescent="0.25">
      <c r="A668" s="7" t="s">
        <v>2072</v>
      </c>
      <c r="B668" s="7" t="s">
        <v>1071</v>
      </c>
      <c r="C668" s="5" t="s">
        <v>12</v>
      </c>
      <c r="D668" s="4" t="s">
        <v>20</v>
      </c>
      <c r="E668" s="5" t="s">
        <v>25</v>
      </c>
      <c r="F668" s="4" t="s">
        <v>2073</v>
      </c>
      <c r="G668" s="9" t="s">
        <v>51</v>
      </c>
      <c r="H668" s="32">
        <v>45344</v>
      </c>
      <c r="I668" s="33">
        <v>45371</v>
      </c>
      <c r="J668" s="4" t="s">
        <v>503</v>
      </c>
      <c r="N668" s="4" t="s">
        <v>73</v>
      </c>
      <c r="O668" s="6">
        <v>45331</v>
      </c>
      <c r="P668" s="11">
        <v>45377</v>
      </c>
      <c r="Q668" s="9">
        <f ca="1">IF(P668="",TODAY()-O668,P668-O668)</f>
        <v>46</v>
      </c>
      <c r="R668" s="4" t="s">
        <v>41</v>
      </c>
      <c r="S668" s="5" t="s">
        <v>27</v>
      </c>
      <c r="T668" s="4" t="s">
        <v>38</v>
      </c>
      <c r="W668" s="5" t="s">
        <v>38</v>
      </c>
      <c r="X668" s="38" t="s">
        <v>2223</v>
      </c>
      <c r="Y668" s="44">
        <v>45344</v>
      </c>
      <c r="Z668" s="7" t="s">
        <v>2130</v>
      </c>
    </row>
    <row r="669" spans="1:26" x14ac:dyDescent="0.25">
      <c r="A669" s="7" t="s">
        <v>2036</v>
      </c>
      <c r="B669" s="7" t="s">
        <v>1071</v>
      </c>
      <c r="C669" s="5" t="s">
        <v>12</v>
      </c>
      <c r="D669" s="4" t="s">
        <v>311</v>
      </c>
      <c r="E669" s="5" t="s">
        <v>25</v>
      </c>
      <c r="F669" s="4" t="s">
        <v>384</v>
      </c>
      <c r="N669" s="4" t="s">
        <v>73</v>
      </c>
      <c r="O669" s="6">
        <v>45340</v>
      </c>
      <c r="P669" s="11">
        <v>45343</v>
      </c>
      <c r="Q669" s="9">
        <f ca="1">IF(P669="",TODAY()-O669,P669-O669)</f>
        <v>3</v>
      </c>
      <c r="R669" s="4" t="s">
        <v>431</v>
      </c>
      <c r="S669" s="5" t="s">
        <v>26</v>
      </c>
      <c r="T669" s="4" t="s">
        <v>38</v>
      </c>
      <c r="U669" s="5" t="s">
        <v>30</v>
      </c>
      <c r="W669" s="5" t="s">
        <v>39</v>
      </c>
      <c r="X669" s="38" t="s">
        <v>2037</v>
      </c>
      <c r="Z669" s="7" t="s">
        <v>2038</v>
      </c>
    </row>
    <row r="670" spans="1:26" x14ac:dyDescent="0.25">
      <c r="A670" s="7" t="s">
        <v>1999</v>
      </c>
      <c r="B670" s="7" t="s">
        <v>1071</v>
      </c>
      <c r="C670" s="5" t="s">
        <v>12</v>
      </c>
      <c r="D670" s="4" t="s">
        <v>18</v>
      </c>
      <c r="E670" s="5" t="s">
        <v>22</v>
      </c>
      <c r="F670" s="4" t="s">
        <v>384</v>
      </c>
      <c r="N670" s="4" t="s">
        <v>9</v>
      </c>
      <c r="O670" s="6">
        <v>45343</v>
      </c>
      <c r="P670" s="11">
        <v>45343</v>
      </c>
      <c r="Q670" s="9">
        <f ca="1">IF(P670="",TODAY()-O670,P670-O670)</f>
        <v>0</v>
      </c>
      <c r="R670" s="4" t="s">
        <v>42</v>
      </c>
      <c r="S670" s="5" t="s">
        <v>26</v>
      </c>
      <c r="U670" s="5" t="s">
        <v>30</v>
      </c>
      <c r="W670" s="5" t="s">
        <v>112</v>
      </c>
      <c r="Z670" s="7" t="s">
        <v>2001</v>
      </c>
    </row>
    <row r="671" spans="1:26" x14ac:dyDescent="0.25">
      <c r="A671" s="7" t="s">
        <v>2000</v>
      </c>
      <c r="B671" s="7" t="s">
        <v>1071</v>
      </c>
      <c r="C671" s="5" t="s">
        <v>12</v>
      </c>
      <c r="D671" s="4" t="s">
        <v>14</v>
      </c>
      <c r="E671" s="5" t="s">
        <v>22</v>
      </c>
      <c r="F671" s="4" t="s">
        <v>384</v>
      </c>
      <c r="L671" s="7" t="s">
        <v>2017</v>
      </c>
      <c r="N671" s="4" t="s">
        <v>73</v>
      </c>
      <c r="O671" s="6">
        <v>45343</v>
      </c>
      <c r="P671" s="11">
        <v>45344</v>
      </c>
      <c r="Q671" s="9">
        <f ca="1">IF(P671="",TODAY()-O671,P671-O671)</f>
        <v>1</v>
      </c>
      <c r="R671" s="4" t="s">
        <v>42</v>
      </c>
      <c r="S671" s="5" t="s">
        <v>26</v>
      </c>
      <c r="T671" s="4" t="s">
        <v>112</v>
      </c>
      <c r="U671" s="5" t="s">
        <v>30</v>
      </c>
      <c r="W671" s="5" t="s">
        <v>1993</v>
      </c>
      <c r="Z671" s="7" t="s">
        <v>2018</v>
      </c>
    </row>
    <row r="672" spans="1:26" x14ac:dyDescent="0.25">
      <c r="A672" s="7" t="s">
        <v>2035</v>
      </c>
      <c r="B672" s="7" t="s">
        <v>1071</v>
      </c>
      <c r="C672" s="5" t="s">
        <v>12</v>
      </c>
      <c r="D672" s="4" t="s">
        <v>311</v>
      </c>
      <c r="E672" s="5" t="s">
        <v>24</v>
      </c>
      <c r="F672" s="4" t="s">
        <v>384</v>
      </c>
      <c r="G672" s="9" t="s">
        <v>50</v>
      </c>
      <c r="H672" s="32">
        <v>45426</v>
      </c>
      <c r="I672" s="33">
        <v>45454</v>
      </c>
      <c r="K672" s="6">
        <v>45392</v>
      </c>
      <c r="L672" s="7" t="s">
        <v>2016</v>
      </c>
      <c r="M672" s="7" t="s">
        <v>2016</v>
      </c>
      <c r="N672" s="4" t="s">
        <v>73</v>
      </c>
      <c r="O672" s="6">
        <v>45343</v>
      </c>
      <c r="P672" s="11">
        <v>45446</v>
      </c>
      <c r="Q672" s="9">
        <f ca="1">IF(P672="",TODAY()-O672,P672-O672)</f>
        <v>103</v>
      </c>
      <c r="R672" s="4" t="s">
        <v>41</v>
      </c>
      <c r="S672" s="5" t="s">
        <v>26</v>
      </c>
      <c r="T672" s="4" t="s">
        <v>38</v>
      </c>
      <c r="U672" s="5" t="s">
        <v>30</v>
      </c>
      <c r="W672" s="5" t="s">
        <v>38</v>
      </c>
      <c r="X672" s="38" t="s">
        <v>2297</v>
      </c>
      <c r="Y672" s="44">
        <v>45393</v>
      </c>
      <c r="Z672" s="7" t="s">
        <v>2268</v>
      </c>
    </row>
    <row r="673" spans="1:26" x14ac:dyDescent="0.25">
      <c r="A673" s="7" t="s">
        <v>2040</v>
      </c>
      <c r="B673" s="7" t="s">
        <v>1071</v>
      </c>
      <c r="C673" s="5" t="s">
        <v>12</v>
      </c>
      <c r="D673" s="4" t="s">
        <v>713</v>
      </c>
      <c r="E673" s="5" t="s">
        <v>25</v>
      </c>
      <c r="F673" s="4" t="s">
        <v>805</v>
      </c>
      <c r="N673" s="4" t="s">
        <v>73</v>
      </c>
      <c r="O673" s="6">
        <v>45345</v>
      </c>
      <c r="Q673" s="9">
        <f ca="1">IF(P673="",TODAY()-O673,P673-O673)</f>
        <v>224</v>
      </c>
      <c r="S673" s="5" t="s">
        <v>28</v>
      </c>
      <c r="T673" s="4" t="s">
        <v>112</v>
      </c>
      <c r="W673" s="5" t="s">
        <v>1993</v>
      </c>
      <c r="Z673" s="7" t="s">
        <v>2120</v>
      </c>
    </row>
    <row r="674" spans="1:26" x14ac:dyDescent="0.25">
      <c r="A674" s="7" t="s">
        <v>2041</v>
      </c>
      <c r="B674" s="7" t="s">
        <v>1071</v>
      </c>
      <c r="C674" s="5" t="s">
        <v>12</v>
      </c>
      <c r="N674" s="4" t="s">
        <v>73</v>
      </c>
      <c r="O674" s="6">
        <v>45346</v>
      </c>
      <c r="Q674" s="9">
        <f ca="1">IF(P674="",TODAY()-O674,P674-O674)</f>
        <v>223</v>
      </c>
      <c r="T674" s="4" t="s">
        <v>112</v>
      </c>
      <c r="W674" s="5" t="s">
        <v>112</v>
      </c>
    </row>
    <row r="675" spans="1:26" x14ac:dyDescent="0.25">
      <c r="A675" s="7" t="s">
        <v>2076</v>
      </c>
      <c r="B675" s="7" t="s">
        <v>1071</v>
      </c>
      <c r="C675" s="5" t="s">
        <v>12</v>
      </c>
      <c r="D675" s="4" t="s">
        <v>311</v>
      </c>
      <c r="E675" s="5" t="s">
        <v>25</v>
      </c>
      <c r="F675" s="4" t="s">
        <v>384</v>
      </c>
      <c r="G675" s="9" t="s">
        <v>51</v>
      </c>
      <c r="H675" s="32">
        <v>45366</v>
      </c>
      <c r="I675" s="33">
        <v>45395</v>
      </c>
      <c r="K675" s="6">
        <v>45357</v>
      </c>
      <c r="N675" s="4" t="s">
        <v>73</v>
      </c>
      <c r="O675" s="6">
        <v>45350</v>
      </c>
      <c r="Q675" s="9">
        <f ca="1">IF(P675="",TODAY()-O675,P675-O675)</f>
        <v>219</v>
      </c>
      <c r="S675" s="5" t="s">
        <v>26</v>
      </c>
      <c r="T675" s="4" t="s">
        <v>38</v>
      </c>
      <c r="U675" s="5" t="s">
        <v>30</v>
      </c>
      <c r="W675" s="5" t="s">
        <v>38</v>
      </c>
      <c r="X675" s="38" t="s">
        <v>2142</v>
      </c>
      <c r="Y675" s="44">
        <v>45357</v>
      </c>
      <c r="Z675" s="7" t="s">
        <v>2077</v>
      </c>
    </row>
    <row r="676" spans="1:26" x14ac:dyDescent="0.25">
      <c r="A676" s="7" t="s">
        <v>2214</v>
      </c>
      <c r="B676" s="7" t="s">
        <v>1071</v>
      </c>
      <c r="C676" s="5" t="s">
        <v>620</v>
      </c>
      <c r="D676" s="4" t="s">
        <v>20</v>
      </c>
      <c r="E676" s="5" t="s">
        <v>22</v>
      </c>
      <c r="L676" s="7" t="s">
        <v>2017</v>
      </c>
      <c r="M676" s="7" t="s">
        <v>2017</v>
      </c>
      <c r="N676" s="4" t="s">
        <v>9</v>
      </c>
      <c r="O676" s="6">
        <v>45351</v>
      </c>
      <c r="P676" s="11">
        <v>45351</v>
      </c>
      <c r="Q676" s="9">
        <f ca="1">IF(P676="",TODAY()-O676,P676-O676)</f>
        <v>0</v>
      </c>
      <c r="R676" s="4" t="s">
        <v>42</v>
      </c>
      <c r="S676" s="5" t="s">
        <v>631</v>
      </c>
      <c r="U676" s="5" t="s">
        <v>31</v>
      </c>
      <c r="W676" s="5" t="s">
        <v>112</v>
      </c>
    </row>
    <row r="677" spans="1:26" x14ac:dyDescent="0.25">
      <c r="A677" s="7" t="s">
        <v>2271</v>
      </c>
      <c r="B677" s="7" t="s">
        <v>1071</v>
      </c>
      <c r="C677" s="5" t="s">
        <v>620</v>
      </c>
      <c r="D677" s="4" t="s">
        <v>20</v>
      </c>
      <c r="L677" s="7" t="s">
        <v>2017</v>
      </c>
      <c r="M677" s="7" t="s">
        <v>2017</v>
      </c>
      <c r="O677" s="6">
        <v>45351</v>
      </c>
      <c r="P677" s="11">
        <v>45351</v>
      </c>
      <c r="Q677" s="9">
        <f ca="1">IF(P677="",TODAY()-O677,P677-O677)</f>
        <v>0</v>
      </c>
      <c r="R677" s="4" t="s">
        <v>42</v>
      </c>
      <c r="S677" s="5" t="s">
        <v>631</v>
      </c>
      <c r="U677" s="5" t="s">
        <v>31</v>
      </c>
    </row>
    <row r="678" spans="1:26" x14ac:dyDescent="0.25">
      <c r="A678" s="7" t="s">
        <v>2145</v>
      </c>
      <c r="B678" s="7" t="s">
        <v>1071</v>
      </c>
      <c r="C678" s="5" t="s">
        <v>12</v>
      </c>
      <c r="D678" s="4" t="s">
        <v>20</v>
      </c>
      <c r="E678" s="5" t="s">
        <v>24</v>
      </c>
      <c r="F678" s="4" t="s">
        <v>384</v>
      </c>
      <c r="K678" s="6">
        <v>45000</v>
      </c>
      <c r="L678" s="7" t="s">
        <v>2016</v>
      </c>
      <c r="M678" s="7" t="s">
        <v>2016</v>
      </c>
      <c r="N678" s="4" t="s">
        <v>73</v>
      </c>
      <c r="O678" s="6">
        <v>45353</v>
      </c>
      <c r="P678" s="11">
        <v>45397</v>
      </c>
      <c r="Q678" s="9">
        <f ca="1">IF(P678="",TODAY()-O678,P678-O678)</f>
        <v>44</v>
      </c>
      <c r="R678" s="4" t="s">
        <v>43</v>
      </c>
      <c r="S678" s="5" t="s">
        <v>631</v>
      </c>
      <c r="T678" s="4" t="s">
        <v>38</v>
      </c>
      <c r="U678" s="5" t="s">
        <v>30</v>
      </c>
      <c r="W678" s="5" t="s">
        <v>38</v>
      </c>
      <c r="Z678" s="7" t="s">
        <v>2146</v>
      </c>
    </row>
    <row r="679" spans="1:26" x14ac:dyDescent="0.25">
      <c r="A679" s="7" t="s">
        <v>2149</v>
      </c>
      <c r="B679" s="7" t="s">
        <v>1071</v>
      </c>
      <c r="C679" s="5" t="s">
        <v>12</v>
      </c>
      <c r="D679" s="4" t="s">
        <v>127</v>
      </c>
      <c r="E679" s="5" t="s">
        <v>23</v>
      </c>
      <c r="F679" s="4" t="s">
        <v>384</v>
      </c>
      <c r="L679" s="7" t="s">
        <v>2016</v>
      </c>
      <c r="M679" s="7" t="s">
        <v>2016</v>
      </c>
      <c r="N679" s="4" t="s">
        <v>73</v>
      </c>
      <c r="O679" s="6">
        <v>45353</v>
      </c>
      <c r="Q679" s="9">
        <f ca="1">IF(P679="",TODAY()-O679,P679-O679)</f>
        <v>216</v>
      </c>
      <c r="S679" s="5" t="s">
        <v>631</v>
      </c>
      <c r="T679" s="4" t="s">
        <v>112</v>
      </c>
      <c r="W679" s="5" t="s">
        <v>112</v>
      </c>
    </row>
    <row r="680" spans="1:26" x14ac:dyDescent="0.25">
      <c r="A680" s="7" t="s">
        <v>2150</v>
      </c>
      <c r="B680" s="7" t="s">
        <v>1071</v>
      </c>
      <c r="C680" s="5" t="s">
        <v>12</v>
      </c>
      <c r="D680" s="4" t="s">
        <v>16</v>
      </c>
      <c r="N680" s="4" t="s">
        <v>73</v>
      </c>
      <c r="O680" s="6">
        <v>45353</v>
      </c>
      <c r="Q680" s="9">
        <f ca="1">IF(P680="",TODAY()-O680,P680-O680)</f>
        <v>216</v>
      </c>
      <c r="S680" s="5" t="s">
        <v>631</v>
      </c>
      <c r="T680" s="4" t="s">
        <v>112</v>
      </c>
      <c r="W680" s="5" t="s">
        <v>112</v>
      </c>
    </row>
    <row r="681" spans="1:26" x14ac:dyDescent="0.25">
      <c r="A681" s="7" t="s">
        <v>2151</v>
      </c>
      <c r="B681" s="7" t="s">
        <v>1071</v>
      </c>
      <c r="C681" s="5" t="s">
        <v>12</v>
      </c>
      <c r="D681" s="4" t="s">
        <v>20</v>
      </c>
      <c r="N681" s="4" t="s">
        <v>73</v>
      </c>
      <c r="O681" s="6">
        <v>45353</v>
      </c>
      <c r="Q681" s="9">
        <f ca="1">IF(P681="",TODAY()-O681,P681-O681)</f>
        <v>216</v>
      </c>
      <c r="S681" s="5" t="s">
        <v>631</v>
      </c>
      <c r="T681" s="4" t="s">
        <v>112</v>
      </c>
      <c r="W681" s="5" t="s">
        <v>112</v>
      </c>
    </row>
    <row r="682" spans="1:26" x14ac:dyDescent="0.25">
      <c r="A682" s="7" t="s">
        <v>2451</v>
      </c>
      <c r="B682" s="7" t="s">
        <v>1071</v>
      </c>
      <c r="C682" s="5" t="s">
        <v>12</v>
      </c>
      <c r="D682" s="4" t="s">
        <v>20</v>
      </c>
      <c r="E682" s="5" t="s">
        <v>25</v>
      </c>
      <c r="F682" s="4" t="s">
        <v>384</v>
      </c>
      <c r="K682" s="6">
        <v>45356</v>
      </c>
      <c r="L682" s="7" t="s">
        <v>2016</v>
      </c>
      <c r="M682" s="7" t="s">
        <v>2016</v>
      </c>
      <c r="N682" s="4" t="s">
        <v>9</v>
      </c>
      <c r="O682" s="6">
        <v>45356</v>
      </c>
      <c r="P682" s="11">
        <v>45356</v>
      </c>
      <c r="Q682" s="9">
        <f ca="1">IF(P682="",TODAY()-O682,P682-O682)</f>
        <v>0</v>
      </c>
      <c r="R682" s="4" t="s">
        <v>2039</v>
      </c>
      <c r="S682" s="5" t="s">
        <v>631</v>
      </c>
      <c r="U682" s="5" t="s">
        <v>30</v>
      </c>
      <c r="Z682" s="7" t="s">
        <v>2452</v>
      </c>
    </row>
    <row r="683" spans="1:26" x14ac:dyDescent="0.25">
      <c r="A683" s="7" t="s">
        <v>2453</v>
      </c>
      <c r="B683" s="7" t="s">
        <v>1071</v>
      </c>
      <c r="C683" s="5" t="s">
        <v>12</v>
      </c>
      <c r="D683" s="4" t="s">
        <v>20</v>
      </c>
      <c r="E683" s="5" t="s">
        <v>24</v>
      </c>
      <c r="F683" s="4" t="s">
        <v>384</v>
      </c>
      <c r="K683" s="6">
        <v>45356</v>
      </c>
      <c r="L683" s="7" t="s">
        <v>2016</v>
      </c>
      <c r="M683" s="7" t="s">
        <v>2016</v>
      </c>
      <c r="N683" s="4" t="s">
        <v>9</v>
      </c>
      <c r="O683" s="6">
        <v>45356</v>
      </c>
      <c r="P683" s="11">
        <v>45356</v>
      </c>
      <c r="Q683" s="9">
        <f ca="1">IF(P683="",TODAY()-O683,P683-O683)</f>
        <v>0</v>
      </c>
      <c r="R683" s="4" t="s">
        <v>2039</v>
      </c>
      <c r="S683" s="5" t="s">
        <v>631</v>
      </c>
      <c r="U683" s="5" t="s">
        <v>30</v>
      </c>
      <c r="W683" s="5" t="s">
        <v>112</v>
      </c>
      <c r="Z683" s="7" t="s">
        <v>2452</v>
      </c>
    </row>
    <row r="684" spans="1:26" x14ac:dyDescent="0.25">
      <c r="A684" s="7" t="s">
        <v>2454</v>
      </c>
      <c r="B684" s="7" t="s">
        <v>1071</v>
      </c>
      <c r="C684" s="5" t="s">
        <v>12</v>
      </c>
      <c r="D684" s="4" t="s">
        <v>16</v>
      </c>
      <c r="E684" s="5" t="s">
        <v>2228</v>
      </c>
      <c r="F684" s="4" t="s">
        <v>384</v>
      </c>
      <c r="N684" s="4" t="s">
        <v>9</v>
      </c>
      <c r="O684" s="6">
        <v>45356</v>
      </c>
      <c r="P684" s="11">
        <v>45356</v>
      </c>
      <c r="Q684" s="9">
        <f ca="1">IF(P684="",TODAY()-O684,P684-O684)</f>
        <v>0</v>
      </c>
      <c r="R684" s="4" t="s">
        <v>42</v>
      </c>
      <c r="S684" s="5" t="s">
        <v>1739</v>
      </c>
      <c r="U684" s="5" t="s">
        <v>31</v>
      </c>
      <c r="W684" s="5" t="s">
        <v>112</v>
      </c>
    </row>
    <row r="685" spans="1:26" x14ac:dyDescent="0.25">
      <c r="A685" s="7" t="s">
        <v>2112</v>
      </c>
      <c r="B685" s="7" t="s">
        <v>1071</v>
      </c>
      <c r="C685" s="5" t="s">
        <v>12</v>
      </c>
      <c r="D685" s="4" t="s">
        <v>16</v>
      </c>
      <c r="E685" s="5" t="s">
        <v>24</v>
      </c>
      <c r="F685" s="4" t="s">
        <v>591</v>
      </c>
      <c r="G685" s="9" t="s">
        <v>50</v>
      </c>
      <c r="H685" s="32">
        <v>45357</v>
      </c>
      <c r="K685" s="6">
        <v>45357</v>
      </c>
      <c r="L685" s="7" t="s">
        <v>2016</v>
      </c>
      <c r="M685" s="7" t="s">
        <v>2016</v>
      </c>
      <c r="N685" s="4" t="s">
        <v>73</v>
      </c>
      <c r="O685" s="6">
        <v>45357</v>
      </c>
      <c r="Q685" s="9">
        <f ca="1">IF(P685="",TODAY()-O685,P685-O685)</f>
        <v>212</v>
      </c>
      <c r="S685" s="5" t="s">
        <v>26</v>
      </c>
      <c r="T685" s="4" t="s">
        <v>112</v>
      </c>
      <c r="U685" s="5" t="s">
        <v>29</v>
      </c>
      <c r="V685" s="4">
        <v>1053</v>
      </c>
      <c r="W685" s="5" t="s">
        <v>39</v>
      </c>
      <c r="Y685" s="44">
        <v>45357</v>
      </c>
      <c r="Z685" s="7" t="s">
        <v>2113</v>
      </c>
    </row>
    <row r="686" spans="1:26" x14ac:dyDescent="0.25">
      <c r="A686" s="7" t="s">
        <v>2311</v>
      </c>
      <c r="B686" s="7" t="s">
        <v>1071</v>
      </c>
      <c r="C686" s="5" t="s">
        <v>12</v>
      </c>
      <c r="D686" s="4" t="s">
        <v>16</v>
      </c>
      <c r="E686" s="5" t="s">
        <v>25</v>
      </c>
      <c r="F686" s="4" t="s">
        <v>2110</v>
      </c>
      <c r="G686" s="9" t="s">
        <v>51</v>
      </c>
      <c r="H686" s="32">
        <v>45358</v>
      </c>
      <c r="I686" s="33">
        <v>45395</v>
      </c>
      <c r="J686" s="4" t="s">
        <v>503</v>
      </c>
      <c r="K686" s="6">
        <v>45358</v>
      </c>
      <c r="L686" s="7" t="s">
        <v>2016</v>
      </c>
      <c r="M686" s="7" t="s">
        <v>2016</v>
      </c>
      <c r="N686" s="4" t="s">
        <v>73</v>
      </c>
      <c r="O686" s="6">
        <v>45358</v>
      </c>
      <c r="Q686" s="9">
        <f ca="1">IF(P686="",TODAY()-O686,P686-O686)</f>
        <v>211</v>
      </c>
      <c r="S686" s="5" t="s">
        <v>121</v>
      </c>
      <c r="T686" s="4" t="s">
        <v>115</v>
      </c>
      <c r="U686" s="5" t="s">
        <v>30</v>
      </c>
      <c r="W686" s="5" t="s">
        <v>39</v>
      </c>
      <c r="X686" s="38" t="s">
        <v>2111</v>
      </c>
      <c r="Y686" s="44">
        <v>45358</v>
      </c>
      <c r="Z686" s="7" t="s">
        <v>2430</v>
      </c>
    </row>
    <row r="687" spans="1:26" x14ac:dyDescent="0.25">
      <c r="A687" s="7" t="s">
        <v>2455</v>
      </c>
      <c r="B687" s="7" t="s">
        <v>1071</v>
      </c>
      <c r="C687" s="5" t="s">
        <v>12</v>
      </c>
      <c r="D687" s="4" t="s">
        <v>17</v>
      </c>
      <c r="E687" s="5" t="s">
        <v>24</v>
      </c>
      <c r="F687" s="4" t="s">
        <v>384</v>
      </c>
      <c r="K687" s="6">
        <v>45358</v>
      </c>
      <c r="L687" s="7" t="s">
        <v>2016</v>
      </c>
      <c r="M687" s="7" t="s">
        <v>2016</v>
      </c>
      <c r="N687" s="4" t="s">
        <v>9</v>
      </c>
      <c r="O687" s="6">
        <v>45358</v>
      </c>
      <c r="P687" s="11">
        <v>45358</v>
      </c>
      <c r="Q687" s="9">
        <f ca="1">IF(P687="",TODAY()-O687,P687-O687)</f>
        <v>0</v>
      </c>
      <c r="R687" s="4" t="s">
        <v>2039</v>
      </c>
      <c r="S687" s="5" t="s">
        <v>631</v>
      </c>
    </row>
    <row r="688" spans="1:26" x14ac:dyDescent="0.25">
      <c r="A688" s="7" t="s">
        <v>2116</v>
      </c>
      <c r="B688" s="7" t="s">
        <v>1071</v>
      </c>
      <c r="C688" s="5" t="s">
        <v>12</v>
      </c>
      <c r="D688" s="4" t="s">
        <v>311</v>
      </c>
      <c r="F688" s="4" t="s">
        <v>640</v>
      </c>
      <c r="N688" s="4" t="s">
        <v>73</v>
      </c>
      <c r="O688" s="6">
        <v>45359</v>
      </c>
      <c r="Q688" s="9">
        <f ca="1">IF(P688="",TODAY()-O688,P688-O688)</f>
        <v>210</v>
      </c>
      <c r="S688" s="5" t="s">
        <v>121</v>
      </c>
      <c r="T688" s="4" t="s">
        <v>38</v>
      </c>
      <c r="W688" s="5" t="s">
        <v>38</v>
      </c>
    </row>
    <row r="689" spans="1:26" x14ac:dyDescent="0.25">
      <c r="A689" s="7" t="s">
        <v>2143</v>
      </c>
      <c r="B689" s="7" t="s">
        <v>1071</v>
      </c>
      <c r="C689" s="5" t="s">
        <v>12</v>
      </c>
      <c r="D689" s="4" t="s">
        <v>17</v>
      </c>
      <c r="E689" s="5" t="s">
        <v>22</v>
      </c>
      <c r="F689" s="4" t="s">
        <v>2144</v>
      </c>
      <c r="L689" s="7" t="s">
        <v>2016</v>
      </c>
      <c r="M689" s="7" t="s">
        <v>2016</v>
      </c>
      <c r="N689" s="4" t="s">
        <v>73</v>
      </c>
      <c r="O689" s="6">
        <v>45363</v>
      </c>
      <c r="P689" s="11">
        <v>45422</v>
      </c>
      <c r="Q689" s="9">
        <f ca="1">IF(P689="",TODAY()-O689,P689-O689)</f>
        <v>59</v>
      </c>
      <c r="R689" s="4" t="s">
        <v>42</v>
      </c>
      <c r="S689" s="5" t="s">
        <v>27</v>
      </c>
      <c r="T689" s="4" t="s">
        <v>38</v>
      </c>
      <c r="U689" s="5" t="s">
        <v>30</v>
      </c>
      <c r="W689" s="5" t="s">
        <v>39</v>
      </c>
      <c r="Z689" s="7" t="s">
        <v>2269</v>
      </c>
    </row>
    <row r="690" spans="1:26" x14ac:dyDescent="0.25">
      <c r="A690" s="7" t="s">
        <v>2148</v>
      </c>
      <c r="B690" s="7" t="s">
        <v>1071</v>
      </c>
      <c r="C690" s="5" t="s">
        <v>12</v>
      </c>
      <c r="D690" s="4" t="s">
        <v>17</v>
      </c>
      <c r="E690" s="5" t="s">
        <v>25</v>
      </c>
      <c r="F690" s="4" t="s">
        <v>591</v>
      </c>
      <c r="K690" s="6">
        <v>45364</v>
      </c>
      <c r="L690" s="7" t="s">
        <v>2016</v>
      </c>
      <c r="M690" s="7" t="s">
        <v>2016</v>
      </c>
      <c r="O690" s="6">
        <v>45364</v>
      </c>
      <c r="Q690" s="9">
        <f ca="1">IF(P690="",TODAY()-O690,P690-O690)</f>
        <v>205</v>
      </c>
      <c r="S690" s="5" t="s">
        <v>631</v>
      </c>
      <c r="U690" s="5" t="s">
        <v>30</v>
      </c>
      <c r="W690" s="5" t="s">
        <v>1993</v>
      </c>
      <c r="Z690" s="7" t="s">
        <v>2147</v>
      </c>
    </row>
    <row r="691" spans="1:26" x14ac:dyDescent="0.25">
      <c r="A691" s="7" t="s">
        <v>2455</v>
      </c>
      <c r="B691" s="7" t="s">
        <v>1071</v>
      </c>
      <c r="C691" s="5" t="s">
        <v>12</v>
      </c>
      <c r="D691" s="4" t="s">
        <v>20</v>
      </c>
      <c r="E691" s="5" t="s">
        <v>24</v>
      </c>
      <c r="F691" s="4" t="s">
        <v>384</v>
      </c>
      <c r="N691" s="4" t="s">
        <v>9</v>
      </c>
      <c r="O691" s="6">
        <v>45364</v>
      </c>
      <c r="P691" s="11">
        <v>45364</v>
      </c>
      <c r="Q691" s="9">
        <f ca="1">IF(P691="",TODAY()-O691,P691-O691)</f>
        <v>0</v>
      </c>
      <c r="R691" s="4" t="s">
        <v>2039</v>
      </c>
      <c r="S691" s="5" t="s">
        <v>631</v>
      </c>
      <c r="U691" s="5" t="s">
        <v>31</v>
      </c>
      <c r="W691" s="5" t="s">
        <v>112</v>
      </c>
    </row>
    <row r="692" spans="1:26" x14ac:dyDescent="0.25">
      <c r="A692" s="7" t="s">
        <v>2455</v>
      </c>
      <c r="B692" s="7" t="s">
        <v>1071</v>
      </c>
      <c r="C692" s="5" t="s">
        <v>12</v>
      </c>
      <c r="D692" s="4" t="s">
        <v>20</v>
      </c>
      <c r="E692" s="5" t="s">
        <v>25</v>
      </c>
      <c r="F692" s="4" t="s">
        <v>384</v>
      </c>
      <c r="K692" s="6">
        <v>45364</v>
      </c>
      <c r="L692" s="7" t="s">
        <v>2016</v>
      </c>
      <c r="M692" s="7" t="s">
        <v>2016</v>
      </c>
      <c r="N692" s="4" t="s">
        <v>73</v>
      </c>
      <c r="O692" s="6">
        <v>45364</v>
      </c>
      <c r="P692" s="11">
        <v>45368</v>
      </c>
      <c r="Q692" s="9">
        <f ca="1">IF(P692="",TODAY()-O692,P692-O692)</f>
        <v>4</v>
      </c>
      <c r="R692" s="4" t="s">
        <v>2039</v>
      </c>
      <c r="S692" s="5" t="s">
        <v>631</v>
      </c>
      <c r="T692" s="4" t="s">
        <v>112</v>
      </c>
      <c r="U692" s="5" t="s">
        <v>31</v>
      </c>
    </row>
    <row r="693" spans="1:26" x14ac:dyDescent="0.25">
      <c r="A693" s="7" t="s">
        <v>2456</v>
      </c>
      <c r="B693" s="7" t="s">
        <v>1071</v>
      </c>
      <c r="C693" s="5" t="s">
        <v>12</v>
      </c>
      <c r="F693" s="4" t="s">
        <v>2457</v>
      </c>
      <c r="N693" s="4" t="s">
        <v>73</v>
      </c>
      <c r="O693" s="6">
        <v>45366</v>
      </c>
      <c r="P693" s="11">
        <v>45439</v>
      </c>
      <c r="Q693" s="9">
        <f ca="1">IF(P693="",TODAY()-O693,P693-O693)</f>
        <v>73</v>
      </c>
      <c r="R693" s="4" t="s">
        <v>42</v>
      </c>
      <c r="S693" s="5" t="s">
        <v>27</v>
      </c>
      <c r="T693" s="4" t="s">
        <v>112</v>
      </c>
      <c r="U693" s="5" t="s">
        <v>31</v>
      </c>
      <c r="W693" s="5" t="s">
        <v>112</v>
      </c>
      <c r="Z693" s="7" t="s">
        <v>2483</v>
      </c>
    </row>
    <row r="694" spans="1:26" x14ac:dyDescent="0.25">
      <c r="A694" s="7" t="s">
        <v>2381</v>
      </c>
      <c r="B694" s="7" t="s">
        <v>1071</v>
      </c>
      <c r="C694" s="5" t="s">
        <v>12</v>
      </c>
      <c r="D694" s="4" t="s">
        <v>1195</v>
      </c>
      <c r="E694" s="5" t="s">
        <v>2228</v>
      </c>
      <c r="F694" s="4" t="s">
        <v>2202</v>
      </c>
      <c r="G694" s="9" t="s">
        <v>51</v>
      </c>
      <c r="H694" s="32">
        <v>45436</v>
      </c>
      <c r="I694" s="33">
        <v>45457</v>
      </c>
      <c r="N694" s="4" t="s">
        <v>73</v>
      </c>
      <c r="O694" s="6">
        <v>45366</v>
      </c>
      <c r="P694" s="11">
        <v>45465</v>
      </c>
      <c r="Q694" s="9">
        <f ca="1">IF(P694="",TODAY()-O694,P694-O694)</f>
        <v>99</v>
      </c>
      <c r="R694" s="4" t="s">
        <v>41</v>
      </c>
      <c r="S694" s="5" t="s">
        <v>27</v>
      </c>
      <c r="T694" s="4" t="s">
        <v>112</v>
      </c>
      <c r="U694" s="5" t="s">
        <v>31</v>
      </c>
      <c r="W694" s="5" t="s">
        <v>112</v>
      </c>
      <c r="X694" s="38" t="s">
        <v>2382</v>
      </c>
      <c r="Y694" s="44">
        <v>45458</v>
      </c>
      <c r="Z694" s="7" t="s">
        <v>2487</v>
      </c>
    </row>
    <row r="695" spans="1:26" x14ac:dyDescent="0.25">
      <c r="A695" s="7" t="s">
        <v>2411</v>
      </c>
      <c r="B695" s="7" t="s">
        <v>1071</v>
      </c>
      <c r="C695" s="5" t="s">
        <v>12</v>
      </c>
      <c r="D695" s="4" t="s">
        <v>15</v>
      </c>
      <c r="E695" s="5" t="s">
        <v>2227</v>
      </c>
      <c r="F695" s="4" t="s">
        <v>2202</v>
      </c>
      <c r="G695" s="9" t="s">
        <v>51</v>
      </c>
      <c r="H695" s="32">
        <v>45436</v>
      </c>
      <c r="I695" s="33">
        <v>45457</v>
      </c>
      <c r="N695" s="4" t="s">
        <v>73</v>
      </c>
      <c r="O695" s="6">
        <v>45366</v>
      </c>
      <c r="P695" s="11">
        <v>45472</v>
      </c>
      <c r="Q695" s="9">
        <f ca="1">IF(P695="",TODAY()-O695,P695-O695)</f>
        <v>106</v>
      </c>
      <c r="R695" s="4" t="s">
        <v>41</v>
      </c>
      <c r="S695" s="5" t="s">
        <v>27</v>
      </c>
      <c r="T695" s="4" t="s">
        <v>112</v>
      </c>
      <c r="U695" s="5" t="s">
        <v>31</v>
      </c>
      <c r="W695" s="5" t="s">
        <v>112</v>
      </c>
      <c r="X695" s="38" t="s">
        <v>2426</v>
      </c>
      <c r="Y695" s="44">
        <v>45457</v>
      </c>
      <c r="Z695" s="7" t="s">
        <v>2487</v>
      </c>
    </row>
    <row r="696" spans="1:26" x14ac:dyDescent="0.25">
      <c r="A696" s="7" t="s">
        <v>2380</v>
      </c>
      <c r="B696" s="7" t="s">
        <v>1071</v>
      </c>
      <c r="C696" s="5" t="s">
        <v>12</v>
      </c>
      <c r="D696" s="4" t="s">
        <v>1195</v>
      </c>
      <c r="E696" s="5" t="s">
        <v>2228</v>
      </c>
      <c r="F696" s="4" t="s">
        <v>2202</v>
      </c>
      <c r="N696" s="4" t="s">
        <v>73</v>
      </c>
      <c r="O696" s="6">
        <v>45366</v>
      </c>
      <c r="P696" s="11">
        <v>45445</v>
      </c>
      <c r="Q696" s="9">
        <f ca="1">IF(P696="",TODAY()-O696,P696-O696)</f>
        <v>79</v>
      </c>
      <c r="R696" s="4" t="s">
        <v>43</v>
      </c>
      <c r="S696" s="5" t="s">
        <v>27</v>
      </c>
      <c r="T696" s="4" t="s">
        <v>112</v>
      </c>
      <c r="U696" s="5" t="s">
        <v>31</v>
      </c>
      <c r="W696" s="5" t="s">
        <v>112</v>
      </c>
      <c r="Z696" s="7" t="s">
        <v>2487</v>
      </c>
    </row>
    <row r="697" spans="1:26" s="13" customFormat="1" x14ac:dyDescent="0.25">
      <c r="A697" s="7" t="s">
        <v>2210</v>
      </c>
      <c r="B697" s="7" t="s">
        <v>1071</v>
      </c>
      <c r="C697" s="5" t="s">
        <v>12</v>
      </c>
      <c r="D697" s="4"/>
      <c r="E697" s="5" t="s">
        <v>22</v>
      </c>
      <c r="F697" s="4" t="s">
        <v>2212</v>
      </c>
      <c r="G697" s="9"/>
      <c r="H697" s="30"/>
      <c r="I697" s="9"/>
      <c r="J697" s="4"/>
      <c r="K697" s="5"/>
      <c r="L697" s="7"/>
      <c r="M697" s="7"/>
      <c r="N697" s="4" t="s">
        <v>73</v>
      </c>
      <c r="O697" s="6">
        <v>45370</v>
      </c>
      <c r="P697" s="4"/>
      <c r="Q697" s="9">
        <f ca="1">IF(P697="",TODAY()-O697,P697-O697)</f>
        <v>199</v>
      </c>
      <c r="R697" s="4"/>
      <c r="S697" s="5" t="s">
        <v>26</v>
      </c>
      <c r="T697" s="4"/>
      <c r="U697" s="5" t="s">
        <v>29</v>
      </c>
      <c r="V697" s="4">
        <v>1055</v>
      </c>
      <c r="W697" s="5" t="s">
        <v>39</v>
      </c>
      <c r="X697" s="38"/>
      <c r="Y697" s="42"/>
      <c r="Z697" s="7" t="s">
        <v>2211</v>
      </c>
    </row>
    <row r="698" spans="1:26" x14ac:dyDescent="0.25">
      <c r="A698" s="7" t="s">
        <v>2458</v>
      </c>
      <c r="B698" s="7" t="s">
        <v>1071</v>
      </c>
      <c r="C698" s="5" t="s">
        <v>12</v>
      </c>
      <c r="D698" s="4" t="s">
        <v>14</v>
      </c>
      <c r="E698" s="5" t="s">
        <v>22</v>
      </c>
      <c r="F698" s="4" t="s">
        <v>384</v>
      </c>
      <c r="L698" s="7" t="s">
        <v>2017</v>
      </c>
      <c r="M698" s="7" t="s">
        <v>2017</v>
      </c>
      <c r="N698" s="4" t="s">
        <v>9</v>
      </c>
      <c r="O698" s="6">
        <v>45370</v>
      </c>
      <c r="P698" s="11">
        <v>45370</v>
      </c>
      <c r="Q698" s="9">
        <f ca="1">IF(P698="",TODAY()-O698,P698-O698)</f>
        <v>0</v>
      </c>
      <c r="R698" s="4" t="s">
        <v>42</v>
      </c>
      <c r="S698" s="5" t="s">
        <v>631</v>
      </c>
      <c r="U698" s="5" t="s">
        <v>30</v>
      </c>
      <c r="W698" s="5" t="s">
        <v>112</v>
      </c>
    </row>
    <row r="699" spans="1:26" x14ac:dyDescent="0.25">
      <c r="A699" s="7" t="s">
        <v>2362</v>
      </c>
      <c r="B699" s="7" t="s">
        <v>1071</v>
      </c>
      <c r="C699" s="5" t="s">
        <v>12</v>
      </c>
      <c r="D699" s="4" t="s">
        <v>20</v>
      </c>
      <c r="E699" s="5" t="s">
        <v>25</v>
      </c>
      <c r="F699" s="4" t="s">
        <v>1809</v>
      </c>
      <c r="K699" s="6">
        <v>45371</v>
      </c>
      <c r="L699" s="7" t="s">
        <v>2016</v>
      </c>
      <c r="M699" s="7" t="s">
        <v>2016</v>
      </c>
      <c r="O699" s="6">
        <v>45371</v>
      </c>
      <c r="P699" s="11">
        <v>45371</v>
      </c>
      <c r="Q699" s="9">
        <f ca="1">IF(P699="",TODAY()-O699,P699-O699)</f>
        <v>0</v>
      </c>
      <c r="R699" s="4" t="s">
        <v>2039</v>
      </c>
      <c r="S699" s="5" t="s">
        <v>631</v>
      </c>
      <c r="U699" s="5" t="s">
        <v>30</v>
      </c>
      <c r="W699" s="5" t="s">
        <v>2318</v>
      </c>
      <c r="Z699" s="7" t="s">
        <v>2363</v>
      </c>
    </row>
    <row r="700" spans="1:26" x14ac:dyDescent="0.25">
      <c r="A700" s="7" t="s">
        <v>2364</v>
      </c>
      <c r="B700" s="7" t="s">
        <v>1071</v>
      </c>
      <c r="C700" s="5" t="s">
        <v>12</v>
      </c>
      <c r="D700" s="4" t="s">
        <v>20</v>
      </c>
      <c r="E700" s="5" t="s">
        <v>24</v>
      </c>
      <c r="F700" s="4" t="s">
        <v>1809</v>
      </c>
      <c r="K700" s="6">
        <v>45371</v>
      </c>
      <c r="L700" s="7" t="s">
        <v>2016</v>
      </c>
      <c r="M700" s="7" t="s">
        <v>2016</v>
      </c>
      <c r="O700" s="6">
        <v>45371</v>
      </c>
      <c r="P700" s="11">
        <v>45371</v>
      </c>
      <c r="Q700" s="9">
        <f ca="1">IF(P700="",TODAY()-O700,P700-O700)</f>
        <v>0</v>
      </c>
      <c r="R700" s="4" t="s">
        <v>2039</v>
      </c>
      <c r="S700" s="5" t="s">
        <v>631</v>
      </c>
      <c r="U700" s="5" t="s">
        <v>30</v>
      </c>
      <c r="W700" s="5" t="s">
        <v>2318</v>
      </c>
      <c r="Z700" s="7" t="s">
        <v>2365</v>
      </c>
    </row>
    <row r="701" spans="1:26" x14ac:dyDescent="0.25">
      <c r="A701" s="7" t="s">
        <v>2286</v>
      </c>
      <c r="B701" s="7" t="s">
        <v>1071</v>
      </c>
      <c r="C701" s="5" t="s">
        <v>12</v>
      </c>
      <c r="D701" s="4" t="s">
        <v>311</v>
      </c>
      <c r="E701" s="5" t="s">
        <v>25</v>
      </c>
      <c r="F701" s="4" t="s">
        <v>591</v>
      </c>
      <c r="G701" s="9" t="s">
        <v>51</v>
      </c>
      <c r="H701" s="32">
        <v>45397</v>
      </c>
      <c r="I701" s="33">
        <v>45420</v>
      </c>
      <c r="J701" s="4" t="s">
        <v>503</v>
      </c>
      <c r="K701" s="6">
        <v>45397</v>
      </c>
      <c r="L701" s="7" t="s">
        <v>2016</v>
      </c>
      <c r="M701" s="7" t="s">
        <v>2016</v>
      </c>
      <c r="N701" s="4" t="s">
        <v>73</v>
      </c>
      <c r="O701" s="6">
        <v>45373</v>
      </c>
      <c r="Q701" s="9">
        <f ca="1">IF(P701="",TODAY()-O701,P701-O701)</f>
        <v>196</v>
      </c>
      <c r="R701" s="4" t="s">
        <v>41</v>
      </c>
      <c r="S701" s="5" t="s">
        <v>26</v>
      </c>
      <c r="T701" s="4" t="s">
        <v>38</v>
      </c>
      <c r="U701" s="5" t="s">
        <v>30</v>
      </c>
      <c r="W701" s="5" t="s">
        <v>39</v>
      </c>
      <c r="X701" s="38" t="s">
        <v>2194</v>
      </c>
      <c r="Y701" s="44">
        <v>45397</v>
      </c>
      <c r="Z701" s="7" t="s">
        <v>2288</v>
      </c>
    </row>
    <row r="702" spans="1:26" x14ac:dyDescent="0.25">
      <c r="A702" s="7" t="s">
        <v>2453</v>
      </c>
      <c r="B702" s="7" t="s">
        <v>1071</v>
      </c>
      <c r="C702" s="5" t="s">
        <v>12</v>
      </c>
      <c r="D702" s="4" t="s">
        <v>127</v>
      </c>
      <c r="E702" s="5" t="s">
        <v>25</v>
      </c>
      <c r="F702" s="4" t="s">
        <v>384</v>
      </c>
      <c r="K702" s="6">
        <v>45373</v>
      </c>
      <c r="L702" s="7" t="s">
        <v>2016</v>
      </c>
      <c r="M702" s="7" t="s">
        <v>2016</v>
      </c>
      <c r="N702" s="4" t="s">
        <v>9</v>
      </c>
      <c r="O702" s="6">
        <v>45373</v>
      </c>
      <c r="P702" s="11">
        <v>45373</v>
      </c>
      <c r="Q702" s="9">
        <f ca="1">IF(P702="",TODAY()-O702,P702-O702)</f>
        <v>0</v>
      </c>
      <c r="R702" s="4" t="s">
        <v>2039</v>
      </c>
      <c r="S702" s="5" t="s">
        <v>631</v>
      </c>
      <c r="U702" s="5" t="s">
        <v>30</v>
      </c>
      <c r="W702" s="5" t="s">
        <v>112</v>
      </c>
      <c r="Z702" s="7" t="s">
        <v>2459</v>
      </c>
    </row>
    <row r="703" spans="1:26" x14ac:dyDescent="0.25">
      <c r="A703" s="7" t="s">
        <v>2409</v>
      </c>
      <c r="B703" s="7" t="s">
        <v>1071</v>
      </c>
      <c r="C703" s="5" t="s">
        <v>12</v>
      </c>
      <c r="D703" s="4" t="s">
        <v>17</v>
      </c>
      <c r="E703" s="5" t="s">
        <v>23</v>
      </c>
      <c r="F703" s="4" t="s">
        <v>2204</v>
      </c>
      <c r="N703" s="4" t="s">
        <v>73</v>
      </c>
      <c r="O703" s="6">
        <v>45378</v>
      </c>
      <c r="Q703" s="9">
        <f ca="1">IF(P703="",TODAY()-O703,P703-O703)</f>
        <v>191</v>
      </c>
      <c r="S703" s="5" t="s">
        <v>26</v>
      </c>
      <c r="T703" s="4" t="s">
        <v>2205</v>
      </c>
      <c r="V703" s="4">
        <v>1082</v>
      </c>
      <c r="W703" s="5" t="s">
        <v>39</v>
      </c>
    </row>
    <row r="704" spans="1:26" x14ac:dyDescent="0.25">
      <c r="A704" s="7" t="s">
        <v>2408</v>
      </c>
      <c r="B704" s="7" t="s">
        <v>1071</v>
      </c>
      <c r="C704" s="5" t="s">
        <v>12</v>
      </c>
      <c r="D704" s="4" t="s">
        <v>20</v>
      </c>
      <c r="E704" s="5" t="s">
        <v>2228</v>
      </c>
      <c r="F704" s="4" t="s">
        <v>2202</v>
      </c>
      <c r="G704" s="9" t="s">
        <v>51</v>
      </c>
      <c r="H704" s="32">
        <v>45454</v>
      </c>
      <c r="I704" s="33">
        <v>45474</v>
      </c>
      <c r="J704" s="4" t="s">
        <v>102</v>
      </c>
      <c r="N704" s="4" t="s">
        <v>73</v>
      </c>
      <c r="O704" s="6">
        <v>45378</v>
      </c>
      <c r="P704" s="11">
        <v>45490</v>
      </c>
      <c r="Q704" s="9">
        <f ca="1">IF(P704="",TODAY()-O704,P704-O704)</f>
        <v>112</v>
      </c>
      <c r="R704" s="4" t="s">
        <v>41</v>
      </c>
      <c r="S704" s="5" t="s">
        <v>26</v>
      </c>
      <c r="T704" s="4" t="s">
        <v>2205</v>
      </c>
      <c r="U704" s="5" t="s">
        <v>29</v>
      </c>
      <c r="V704" s="4">
        <v>1083</v>
      </c>
      <c r="W704" s="5" t="s">
        <v>39</v>
      </c>
      <c r="X704" s="38" t="s">
        <v>2741</v>
      </c>
      <c r="Y704" s="44">
        <v>45454</v>
      </c>
      <c r="Z704" s="7" t="s">
        <v>2403</v>
      </c>
    </row>
    <row r="705" spans="1:26" x14ac:dyDescent="0.25">
      <c r="A705" s="7" t="s">
        <v>2407</v>
      </c>
      <c r="B705" s="7" t="s">
        <v>1071</v>
      </c>
      <c r="C705" s="5" t="s">
        <v>12</v>
      </c>
      <c r="D705" s="4" t="s">
        <v>17</v>
      </c>
      <c r="E705" s="5" t="s">
        <v>2228</v>
      </c>
      <c r="F705" s="4" t="s">
        <v>2202</v>
      </c>
      <c r="J705" s="4" t="s">
        <v>102</v>
      </c>
      <c r="N705" s="4" t="s">
        <v>73</v>
      </c>
      <c r="O705" s="6">
        <v>45378</v>
      </c>
      <c r="P705" s="11">
        <v>45489</v>
      </c>
      <c r="Q705" s="9">
        <f ca="1">IF(P705="",TODAY()-O705,P705-O705)</f>
        <v>111</v>
      </c>
      <c r="R705" s="4" t="s">
        <v>41</v>
      </c>
      <c r="S705" s="5" t="s">
        <v>26</v>
      </c>
      <c r="T705" s="4" t="s">
        <v>2205</v>
      </c>
      <c r="V705" s="4">
        <v>1084</v>
      </c>
      <c r="W705" s="5" t="s">
        <v>39</v>
      </c>
      <c r="Y705" s="44">
        <v>45454</v>
      </c>
      <c r="Z705" s="7" t="s">
        <v>2403</v>
      </c>
    </row>
    <row r="706" spans="1:26" x14ac:dyDescent="0.25">
      <c r="A706" s="7" t="s">
        <v>2742</v>
      </c>
      <c r="B706" s="7" t="s">
        <v>1071</v>
      </c>
      <c r="C706" s="5" t="s">
        <v>12</v>
      </c>
      <c r="D706" s="4" t="s">
        <v>18</v>
      </c>
      <c r="E706" s="5" t="s">
        <v>2227</v>
      </c>
      <c r="F706" s="4" t="s">
        <v>2202</v>
      </c>
      <c r="G706" s="9" t="s">
        <v>51</v>
      </c>
      <c r="H706" s="32">
        <v>45454</v>
      </c>
      <c r="I706" s="33">
        <v>45474</v>
      </c>
      <c r="J706" s="4" t="s">
        <v>102</v>
      </c>
      <c r="N706" s="4" t="s">
        <v>73</v>
      </c>
      <c r="O706" s="6">
        <v>45378</v>
      </c>
      <c r="P706" s="11">
        <v>45511</v>
      </c>
      <c r="Q706" s="9">
        <f ca="1">IF(P706="",TODAY()-O706,P706-O706)</f>
        <v>133</v>
      </c>
      <c r="R706" s="4" t="s">
        <v>41</v>
      </c>
      <c r="S706" s="5" t="s">
        <v>26</v>
      </c>
      <c r="T706" s="4" t="s">
        <v>2205</v>
      </c>
      <c r="U706" s="5" t="s">
        <v>29</v>
      </c>
      <c r="V706" s="4">
        <v>1085</v>
      </c>
      <c r="W706" s="5" t="s">
        <v>39</v>
      </c>
      <c r="X706" s="38" t="s">
        <v>2402</v>
      </c>
      <c r="Y706" s="44">
        <v>45454</v>
      </c>
      <c r="Z706" s="7" t="s">
        <v>2403</v>
      </c>
    </row>
    <row r="707" spans="1:26" x14ac:dyDescent="0.25">
      <c r="A707" s="7" t="s">
        <v>2743</v>
      </c>
      <c r="B707" s="7" t="s">
        <v>1071</v>
      </c>
      <c r="C707" s="5" t="s">
        <v>12</v>
      </c>
      <c r="D707" s="4" t="s">
        <v>18</v>
      </c>
      <c r="E707" s="5" t="s">
        <v>2227</v>
      </c>
      <c r="F707" s="4" t="s">
        <v>2202</v>
      </c>
      <c r="G707" s="9" t="s">
        <v>51</v>
      </c>
      <c r="H707" s="32">
        <v>45454</v>
      </c>
      <c r="I707" s="33">
        <v>45474</v>
      </c>
      <c r="J707" s="4" t="s">
        <v>102</v>
      </c>
      <c r="N707" s="4" t="s">
        <v>73</v>
      </c>
      <c r="O707" s="6">
        <v>45378</v>
      </c>
      <c r="P707" s="11">
        <v>45494</v>
      </c>
      <c r="Q707" s="9">
        <f ca="1">IF(P707="",TODAY()-O707,P707-O707)</f>
        <v>116</v>
      </c>
      <c r="R707" s="4" t="s">
        <v>41</v>
      </c>
      <c r="S707" s="5" t="s">
        <v>26</v>
      </c>
      <c r="T707" s="4" t="s">
        <v>2205</v>
      </c>
      <c r="U707" s="5" t="s">
        <v>29</v>
      </c>
      <c r="V707" s="4">
        <v>1086</v>
      </c>
      <c r="W707" s="5" t="s">
        <v>39</v>
      </c>
      <c r="X707" s="38" t="s">
        <v>2401</v>
      </c>
      <c r="Y707" s="44">
        <v>45454</v>
      </c>
      <c r="Z707" s="7" t="s">
        <v>2403</v>
      </c>
    </row>
    <row r="708" spans="1:26" x14ac:dyDescent="0.25">
      <c r="A708" s="7" t="s">
        <v>2488</v>
      </c>
      <c r="B708" s="7" t="s">
        <v>1071</v>
      </c>
      <c r="D708" s="4" t="s">
        <v>20</v>
      </c>
      <c r="E708" s="5" t="s">
        <v>2227</v>
      </c>
      <c r="F708" s="4" t="s">
        <v>2489</v>
      </c>
      <c r="G708" s="9" t="s">
        <v>51</v>
      </c>
      <c r="H708" s="32">
        <v>45379</v>
      </c>
      <c r="I708" s="33">
        <v>45400</v>
      </c>
      <c r="J708" s="4" t="s">
        <v>101</v>
      </c>
      <c r="K708" s="5" t="s">
        <v>2490</v>
      </c>
      <c r="N708" s="4" t="s">
        <v>73</v>
      </c>
      <c r="O708" s="6">
        <v>45379</v>
      </c>
      <c r="Q708" s="9">
        <f ca="1">IF(P708="",TODAY()-O708,P708-O708)</f>
        <v>190</v>
      </c>
      <c r="S708" s="5" t="s">
        <v>27</v>
      </c>
      <c r="T708" s="4" t="s">
        <v>425</v>
      </c>
      <c r="U708" s="5" t="s">
        <v>29</v>
      </c>
      <c r="V708" s="4">
        <v>1057</v>
      </c>
      <c r="W708" s="5" t="s">
        <v>425</v>
      </c>
      <c r="X708" s="38" t="s">
        <v>2492</v>
      </c>
      <c r="Y708" s="44">
        <v>45379</v>
      </c>
      <c r="Z708" s="7" t="s">
        <v>2491</v>
      </c>
    </row>
    <row r="709" spans="1:26" x14ac:dyDescent="0.25">
      <c r="A709" s="7" t="s">
        <v>2453</v>
      </c>
      <c r="B709" s="7" t="s">
        <v>1071</v>
      </c>
      <c r="C709" s="5" t="s">
        <v>12</v>
      </c>
      <c r="D709" s="4" t="s">
        <v>17</v>
      </c>
      <c r="E709" s="5" t="s">
        <v>24</v>
      </c>
      <c r="F709" s="4" t="s">
        <v>384</v>
      </c>
      <c r="K709" s="6">
        <v>45380</v>
      </c>
      <c r="L709" s="7" t="s">
        <v>2016</v>
      </c>
      <c r="M709" s="7" t="s">
        <v>2016</v>
      </c>
      <c r="N709" s="4" t="s">
        <v>9</v>
      </c>
      <c r="O709" s="6">
        <v>45380</v>
      </c>
      <c r="P709" s="11">
        <v>45380</v>
      </c>
      <c r="Q709" s="9">
        <f ca="1">IF(P709="",TODAY()-O709,P709-O709)</f>
        <v>0</v>
      </c>
      <c r="R709" s="4" t="s">
        <v>2039</v>
      </c>
      <c r="S709" s="5" t="s">
        <v>631</v>
      </c>
      <c r="U709" s="5" t="s">
        <v>30</v>
      </c>
      <c r="W709" s="5" t="s">
        <v>112</v>
      </c>
      <c r="Z709" s="7" t="s">
        <v>2460</v>
      </c>
    </row>
    <row r="710" spans="1:26" x14ac:dyDescent="0.25">
      <c r="A710" s="7" t="s">
        <v>2366</v>
      </c>
      <c r="B710" s="7" t="s">
        <v>1071</v>
      </c>
      <c r="C710" s="5" t="s">
        <v>12</v>
      </c>
      <c r="D710" s="4" t="s">
        <v>17</v>
      </c>
      <c r="L710" s="7" t="s">
        <v>2017</v>
      </c>
      <c r="M710" s="7" t="s">
        <v>2017</v>
      </c>
      <c r="N710" s="4" t="s">
        <v>9</v>
      </c>
      <c r="O710" s="6">
        <v>45385</v>
      </c>
      <c r="P710" s="11">
        <v>45385</v>
      </c>
      <c r="Q710" s="9">
        <f ca="1">IF(P710="",TODAY()-O710,P710-O710)</f>
        <v>0</v>
      </c>
      <c r="R710" s="4" t="s">
        <v>42</v>
      </c>
      <c r="S710" s="5" t="s">
        <v>631</v>
      </c>
      <c r="U710" s="5" t="s">
        <v>30</v>
      </c>
      <c r="W710" s="5" t="s">
        <v>2318</v>
      </c>
    </row>
    <row r="711" spans="1:26" x14ac:dyDescent="0.25">
      <c r="A711" s="7" t="s">
        <v>2347</v>
      </c>
      <c r="B711" s="7" t="s">
        <v>1071</v>
      </c>
      <c r="C711" s="5" t="s">
        <v>620</v>
      </c>
      <c r="D711" s="4" t="s">
        <v>127</v>
      </c>
      <c r="E711" s="5" t="s">
        <v>25</v>
      </c>
      <c r="F711" s="4" t="s">
        <v>2348</v>
      </c>
      <c r="G711" s="9" t="s">
        <v>51</v>
      </c>
      <c r="H711" s="32">
        <v>45447</v>
      </c>
      <c r="I711" s="33">
        <v>45468</v>
      </c>
      <c r="J711" s="4" t="s">
        <v>102</v>
      </c>
      <c r="K711" s="6">
        <v>45468</v>
      </c>
      <c r="N711" s="4" t="s">
        <v>73</v>
      </c>
      <c r="O711" s="6">
        <v>45386</v>
      </c>
      <c r="P711" s="11">
        <v>45506</v>
      </c>
      <c r="Q711" s="9">
        <f ca="1">IF(P711="",TODAY()-O711,P711-O711)</f>
        <v>120</v>
      </c>
      <c r="R711" s="4" t="s">
        <v>41</v>
      </c>
      <c r="S711" s="5" t="s">
        <v>26</v>
      </c>
      <c r="T711" s="4" t="s">
        <v>114</v>
      </c>
      <c r="U711" s="5" t="s">
        <v>33</v>
      </c>
      <c r="V711" s="4">
        <v>1058</v>
      </c>
      <c r="W711" s="5" t="s">
        <v>39</v>
      </c>
      <c r="X711" s="38" t="s">
        <v>2613</v>
      </c>
      <c r="Y711" s="44">
        <v>45472</v>
      </c>
      <c r="Z711" s="7" t="s">
        <v>2614</v>
      </c>
    </row>
    <row r="712" spans="1:26" x14ac:dyDescent="0.25">
      <c r="A712" s="7" t="s">
        <v>2371</v>
      </c>
      <c r="B712" s="7" t="s">
        <v>1071</v>
      </c>
      <c r="C712" s="5" t="s">
        <v>12</v>
      </c>
      <c r="D712" s="4" t="s">
        <v>16</v>
      </c>
      <c r="E712" s="5" t="s">
        <v>2228</v>
      </c>
      <c r="F712" s="4" t="s">
        <v>2203</v>
      </c>
      <c r="G712" s="9" t="s">
        <v>51</v>
      </c>
      <c r="H712" s="32">
        <v>45447</v>
      </c>
      <c r="I712" s="33">
        <v>45468</v>
      </c>
      <c r="J712" s="4" t="s">
        <v>102</v>
      </c>
      <c r="N712" s="4" t="s">
        <v>73</v>
      </c>
      <c r="O712" s="6">
        <v>45386</v>
      </c>
      <c r="P712" s="11">
        <v>45472</v>
      </c>
      <c r="Q712" s="9">
        <f ca="1">IF(P712="",TODAY()-O712,P712-O712)</f>
        <v>86</v>
      </c>
      <c r="R712" s="4" t="s">
        <v>41</v>
      </c>
      <c r="S712" s="5" t="s">
        <v>26</v>
      </c>
      <c r="T712" s="4" t="s">
        <v>114</v>
      </c>
      <c r="U712" s="5" t="s">
        <v>33</v>
      </c>
      <c r="W712" s="5" t="s">
        <v>39</v>
      </c>
      <c r="X712" s="38" t="s">
        <v>2372</v>
      </c>
      <c r="Y712" s="44">
        <v>45472</v>
      </c>
      <c r="Z712" s="7" t="s">
        <v>2349</v>
      </c>
    </row>
    <row r="713" spans="1:26" x14ac:dyDescent="0.25">
      <c r="A713" s="7" t="s">
        <v>2351</v>
      </c>
      <c r="B713" s="7" t="s">
        <v>1071</v>
      </c>
      <c r="C713" s="5" t="s">
        <v>12</v>
      </c>
      <c r="D713" s="4" t="s">
        <v>127</v>
      </c>
      <c r="E713" s="5" t="s">
        <v>2227</v>
      </c>
      <c r="F713" s="4" t="s">
        <v>2203</v>
      </c>
      <c r="G713" s="9" t="s">
        <v>51</v>
      </c>
      <c r="H713" s="32">
        <v>45447</v>
      </c>
      <c r="I713" s="33">
        <v>45468</v>
      </c>
      <c r="J713" s="4" t="s">
        <v>102</v>
      </c>
      <c r="N713" s="4" t="s">
        <v>73</v>
      </c>
      <c r="O713" s="6">
        <v>45386</v>
      </c>
      <c r="P713" s="11">
        <v>45472</v>
      </c>
      <c r="Q713" s="9">
        <f ca="1">IF(P713="",TODAY()-O713,P713-O713)</f>
        <v>86</v>
      </c>
      <c r="R713" s="4" t="s">
        <v>41</v>
      </c>
      <c r="S713" s="5" t="s">
        <v>26</v>
      </c>
      <c r="T713" s="4" t="s">
        <v>114</v>
      </c>
      <c r="U713" s="5" t="s">
        <v>33</v>
      </c>
      <c r="W713" s="5" t="s">
        <v>39</v>
      </c>
      <c r="Z713" s="7" t="s">
        <v>2349</v>
      </c>
    </row>
    <row r="714" spans="1:26" x14ac:dyDescent="0.25">
      <c r="A714" s="7" t="s">
        <v>2352</v>
      </c>
      <c r="B714" s="7" t="s">
        <v>1071</v>
      </c>
      <c r="C714" s="5" t="s">
        <v>12</v>
      </c>
      <c r="D714" s="4" t="s">
        <v>16</v>
      </c>
      <c r="E714" s="5" t="s">
        <v>25</v>
      </c>
      <c r="F714" s="4" t="s">
        <v>2203</v>
      </c>
      <c r="G714" s="9" t="s">
        <v>51</v>
      </c>
      <c r="H714" s="32">
        <v>45447</v>
      </c>
      <c r="I714" s="33">
        <v>45468</v>
      </c>
      <c r="J714" s="4" t="s">
        <v>102</v>
      </c>
      <c r="K714" s="6">
        <v>45544</v>
      </c>
      <c r="N714" s="4" t="s">
        <v>73</v>
      </c>
      <c r="O714" s="6">
        <v>45386</v>
      </c>
      <c r="Q714" s="9">
        <f ca="1">IF(P714="",TODAY()-O714,P714-O714)</f>
        <v>183</v>
      </c>
      <c r="S714" s="5" t="s">
        <v>26</v>
      </c>
      <c r="T714" s="4" t="s">
        <v>114</v>
      </c>
      <c r="U714" s="5" t="s">
        <v>33</v>
      </c>
      <c r="W714" s="5" t="s">
        <v>39</v>
      </c>
      <c r="X714" s="38" t="s">
        <v>2747</v>
      </c>
      <c r="Y714" s="44">
        <v>45472</v>
      </c>
      <c r="Z714" s="7" t="s">
        <v>2748</v>
      </c>
    </row>
    <row r="715" spans="1:26" x14ac:dyDescent="0.25">
      <c r="A715" s="7" t="s">
        <v>2350</v>
      </c>
      <c r="B715" s="7" t="s">
        <v>1071</v>
      </c>
      <c r="C715" s="5" t="s">
        <v>12</v>
      </c>
      <c r="D715" s="4" t="s">
        <v>14</v>
      </c>
      <c r="E715" s="5" t="s">
        <v>2228</v>
      </c>
      <c r="F715" s="4" t="s">
        <v>2203</v>
      </c>
      <c r="G715" s="9" t="s">
        <v>51</v>
      </c>
      <c r="H715" s="32">
        <v>45447</v>
      </c>
      <c r="I715" s="33">
        <v>45468</v>
      </c>
      <c r="J715" s="4" t="s">
        <v>102</v>
      </c>
      <c r="N715" s="4" t="s">
        <v>73</v>
      </c>
      <c r="O715" s="6">
        <v>45386</v>
      </c>
      <c r="P715" s="11">
        <v>45472</v>
      </c>
      <c r="Q715" s="9">
        <f ca="1">IF(P715="",TODAY()-O715,P715-O715)</f>
        <v>86</v>
      </c>
      <c r="R715" s="4" t="s">
        <v>41</v>
      </c>
      <c r="S715" s="5" t="s">
        <v>26</v>
      </c>
      <c r="T715" s="4" t="s">
        <v>114</v>
      </c>
      <c r="U715" s="5" t="s">
        <v>33</v>
      </c>
      <c r="W715" s="5" t="s">
        <v>39</v>
      </c>
      <c r="Z715" s="7" t="s">
        <v>2349</v>
      </c>
    </row>
    <row r="716" spans="1:26" x14ac:dyDescent="0.25">
      <c r="A716" s="7" t="s">
        <v>2463</v>
      </c>
      <c r="B716" s="7" t="s">
        <v>1071</v>
      </c>
      <c r="C716" s="5" t="s">
        <v>12</v>
      </c>
      <c r="D716" s="4" t="s">
        <v>1487</v>
      </c>
      <c r="E716" s="5" t="s">
        <v>25</v>
      </c>
      <c r="F716" s="4" t="s">
        <v>384</v>
      </c>
      <c r="K716" s="6">
        <v>45386</v>
      </c>
      <c r="L716" s="7" t="s">
        <v>2016</v>
      </c>
      <c r="M716" s="7" t="s">
        <v>2016</v>
      </c>
      <c r="O716" s="6">
        <v>45386</v>
      </c>
      <c r="P716" s="11">
        <v>45386</v>
      </c>
      <c r="Q716" s="9">
        <f ca="1">IF(P716="",TODAY()-O716,P716-O716)</f>
        <v>0</v>
      </c>
      <c r="R716" s="4" t="s">
        <v>2039</v>
      </c>
      <c r="S716" s="5" t="s">
        <v>631</v>
      </c>
      <c r="U716" s="5" t="s">
        <v>30</v>
      </c>
      <c r="W716" s="5" t="s">
        <v>112</v>
      </c>
      <c r="Z716" s="7" t="s">
        <v>2464</v>
      </c>
    </row>
    <row r="717" spans="1:26" x14ac:dyDescent="0.25">
      <c r="A717" s="7" t="s">
        <v>2463</v>
      </c>
      <c r="B717" s="7" t="s">
        <v>1071</v>
      </c>
      <c r="C717" s="5" t="s">
        <v>12</v>
      </c>
      <c r="D717" s="4" t="s">
        <v>20</v>
      </c>
      <c r="E717" s="5" t="s">
        <v>25</v>
      </c>
      <c r="F717" s="4" t="s">
        <v>384</v>
      </c>
      <c r="K717" s="6">
        <v>45387</v>
      </c>
      <c r="L717" s="7" t="s">
        <v>2016</v>
      </c>
      <c r="M717" s="7" t="s">
        <v>2016</v>
      </c>
      <c r="O717" s="6">
        <v>45387</v>
      </c>
      <c r="P717" s="11">
        <v>45387</v>
      </c>
      <c r="Q717" s="9">
        <f ca="1">IF(P717="",TODAY()-O717,P717-O717)</f>
        <v>0</v>
      </c>
      <c r="R717" s="4" t="s">
        <v>2039</v>
      </c>
      <c r="S717" s="5" t="s">
        <v>631</v>
      </c>
      <c r="U717" s="5" t="s">
        <v>30</v>
      </c>
      <c r="W717" s="5" t="s">
        <v>112</v>
      </c>
      <c r="Z717" s="7" t="s">
        <v>2465</v>
      </c>
    </row>
    <row r="718" spans="1:26" x14ac:dyDescent="0.25">
      <c r="A718" s="7" t="s">
        <v>2180</v>
      </c>
      <c r="B718" s="7" t="s">
        <v>1071</v>
      </c>
      <c r="C718" s="5" t="s">
        <v>12</v>
      </c>
      <c r="D718" s="4" t="s">
        <v>20</v>
      </c>
      <c r="E718" s="5" t="s">
        <v>25</v>
      </c>
      <c r="F718" s="4" t="s">
        <v>2181</v>
      </c>
      <c r="N718" s="4" t="s">
        <v>73</v>
      </c>
      <c r="O718" s="6">
        <v>45388</v>
      </c>
      <c r="P718" s="11">
        <v>45394</v>
      </c>
      <c r="Q718" s="9">
        <f ca="1">IF(P718="",TODAY()-O718,P718-O718)</f>
        <v>6</v>
      </c>
      <c r="R718" s="4" t="s">
        <v>431</v>
      </c>
      <c r="S718" s="5" t="s">
        <v>26</v>
      </c>
      <c r="T718" s="4" t="s">
        <v>38</v>
      </c>
      <c r="U718" s="5" t="s">
        <v>29</v>
      </c>
      <c r="V718" s="4">
        <v>1059</v>
      </c>
      <c r="W718" s="5" t="s">
        <v>39</v>
      </c>
      <c r="Z718" s="7" t="s">
        <v>2182</v>
      </c>
    </row>
    <row r="719" spans="1:26" x14ac:dyDescent="0.25">
      <c r="A719" s="7" t="s">
        <v>2466</v>
      </c>
      <c r="B719" s="7" t="s">
        <v>1071</v>
      </c>
      <c r="C719" s="5" t="s">
        <v>12</v>
      </c>
      <c r="D719" s="4" t="s">
        <v>311</v>
      </c>
      <c r="E719" s="5" t="s">
        <v>25</v>
      </c>
      <c r="F719" s="4" t="s">
        <v>2457</v>
      </c>
      <c r="K719" s="6">
        <v>45391</v>
      </c>
      <c r="O719" s="6">
        <v>45391</v>
      </c>
      <c r="P719" s="11">
        <v>45395</v>
      </c>
      <c r="Q719" s="9">
        <f ca="1">IF(P719="",TODAY()-O719,P719-O719)</f>
        <v>4</v>
      </c>
      <c r="R719" s="4" t="s">
        <v>2039</v>
      </c>
      <c r="S719" s="5" t="s">
        <v>631</v>
      </c>
      <c r="T719" s="4" t="s">
        <v>112</v>
      </c>
      <c r="U719" s="5" t="s">
        <v>30</v>
      </c>
      <c r="W719" s="5" t="s">
        <v>112</v>
      </c>
      <c r="Z719" s="7" t="s">
        <v>2467</v>
      </c>
    </row>
    <row r="720" spans="1:26" x14ac:dyDescent="0.25">
      <c r="A720" s="7" t="s">
        <v>1720</v>
      </c>
      <c r="B720" s="7" t="s">
        <v>1071</v>
      </c>
      <c r="C720" s="5" t="s">
        <v>12</v>
      </c>
      <c r="D720" s="4" t="s">
        <v>17</v>
      </c>
      <c r="E720" s="5" t="s">
        <v>25</v>
      </c>
      <c r="K720" s="6">
        <v>45391</v>
      </c>
      <c r="L720" s="7" t="s">
        <v>2016</v>
      </c>
      <c r="M720" s="7" t="s">
        <v>2016</v>
      </c>
      <c r="O720" s="6">
        <v>45391</v>
      </c>
      <c r="P720" s="11">
        <v>45391</v>
      </c>
      <c r="Q720" s="9">
        <f ca="1">IF(P720="",TODAY()-O720,P720-O720)</f>
        <v>0</v>
      </c>
      <c r="R720" s="4" t="s">
        <v>2039</v>
      </c>
      <c r="S720" s="5" t="s">
        <v>631</v>
      </c>
      <c r="T720" s="4" t="s">
        <v>112</v>
      </c>
      <c r="U720" s="5" t="s">
        <v>30</v>
      </c>
      <c r="W720" s="5" t="s">
        <v>112</v>
      </c>
      <c r="Z720" s="7" t="s">
        <v>2468</v>
      </c>
    </row>
    <row r="721" spans="1:26" x14ac:dyDescent="0.25">
      <c r="A721" s="7" t="s">
        <v>2262</v>
      </c>
      <c r="B721" s="7" t="s">
        <v>1071</v>
      </c>
      <c r="C721" s="5" t="s">
        <v>12</v>
      </c>
      <c r="D721" s="4" t="s">
        <v>18</v>
      </c>
      <c r="E721" s="5" t="s">
        <v>25</v>
      </c>
      <c r="F721" s="4" t="s">
        <v>2216</v>
      </c>
      <c r="G721" s="9" t="s">
        <v>51</v>
      </c>
      <c r="H721" s="32">
        <v>45393</v>
      </c>
      <c r="I721" s="33">
        <v>45420</v>
      </c>
      <c r="J721" s="4" t="s">
        <v>503</v>
      </c>
      <c r="K721" s="6">
        <v>45393</v>
      </c>
      <c r="L721" s="7" t="s">
        <v>2016</v>
      </c>
      <c r="M721" s="7" t="s">
        <v>2016</v>
      </c>
      <c r="N721" s="4" t="s">
        <v>73</v>
      </c>
      <c r="O721" s="6">
        <v>45392</v>
      </c>
      <c r="P721" s="11">
        <v>45436</v>
      </c>
      <c r="Q721" s="9">
        <f ca="1">IF(P721="",TODAY()-O721,P721-O721)</f>
        <v>44</v>
      </c>
      <c r="R721" s="4" t="s">
        <v>41</v>
      </c>
      <c r="S721" s="5" t="s">
        <v>631</v>
      </c>
      <c r="T721" s="4" t="s">
        <v>38</v>
      </c>
      <c r="U721" s="5" t="s">
        <v>30</v>
      </c>
      <c r="W721" s="5" t="s">
        <v>38</v>
      </c>
      <c r="X721" s="38" t="s">
        <v>2267</v>
      </c>
      <c r="Y721" s="44">
        <v>45393</v>
      </c>
      <c r="Z721" s="7" t="s">
        <v>2232</v>
      </c>
    </row>
    <row r="722" spans="1:26" x14ac:dyDescent="0.25">
      <c r="A722" s="7" t="s">
        <v>2386</v>
      </c>
      <c r="B722" s="7" t="s">
        <v>1071</v>
      </c>
      <c r="C722" s="5" t="s">
        <v>12</v>
      </c>
      <c r="D722" s="4" t="s">
        <v>17</v>
      </c>
      <c r="E722" s="5" t="s">
        <v>23</v>
      </c>
      <c r="F722" s="4" t="s">
        <v>2183</v>
      </c>
      <c r="G722" s="9" t="s">
        <v>51</v>
      </c>
      <c r="H722" s="32">
        <v>45408</v>
      </c>
      <c r="I722" s="33">
        <v>45429</v>
      </c>
      <c r="J722" s="4" t="s">
        <v>101</v>
      </c>
      <c r="K722" s="6">
        <v>45436</v>
      </c>
      <c r="N722" s="4" t="s">
        <v>73</v>
      </c>
      <c r="O722" s="6">
        <v>45393</v>
      </c>
      <c r="Q722" s="9">
        <f ca="1">IF(P722="",TODAY()-O722,P722-O722)</f>
        <v>176</v>
      </c>
      <c r="S722" s="5" t="s">
        <v>26</v>
      </c>
      <c r="T722" s="4" t="s">
        <v>2188</v>
      </c>
      <c r="U722" s="5" t="s">
        <v>29</v>
      </c>
      <c r="V722" s="4">
        <v>1068</v>
      </c>
      <c r="W722" s="5" t="s">
        <v>112</v>
      </c>
      <c r="X722" s="38" t="s">
        <v>2387</v>
      </c>
      <c r="Y722" s="44">
        <v>45408</v>
      </c>
      <c r="Z722" s="7" t="s">
        <v>2385</v>
      </c>
    </row>
    <row r="723" spans="1:26" x14ac:dyDescent="0.25">
      <c r="A723" s="7" t="s">
        <v>2191</v>
      </c>
      <c r="B723" s="7" t="s">
        <v>1071</v>
      </c>
      <c r="C723" s="5" t="s">
        <v>12</v>
      </c>
      <c r="D723" s="4" t="s">
        <v>18</v>
      </c>
      <c r="E723" s="5" t="s">
        <v>24</v>
      </c>
      <c r="F723" s="4" t="s">
        <v>384</v>
      </c>
      <c r="K723" s="6">
        <v>45399</v>
      </c>
      <c r="L723" s="7" t="s">
        <v>2016</v>
      </c>
      <c r="M723" s="7" t="s">
        <v>2016</v>
      </c>
      <c r="N723" s="4" t="s">
        <v>9</v>
      </c>
      <c r="O723" s="6">
        <v>45397</v>
      </c>
      <c r="P723" s="11">
        <v>45401</v>
      </c>
      <c r="Q723" s="9">
        <f ca="1">IF(P723="",TODAY()-O723,P723-O723)</f>
        <v>4</v>
      </c>
      <c r="R723" s="4" t="s">
        <v>2039</v>
      </c>
      <c r="S723" s="5" t="s">
        <v>26</v>
      </c>
      <c r="U723" s="5" t="s">
        <v>30</v>
      </c>
      <c r="W723" s="5" t="s">
        <v>39</v>
      </c>
      <c r="Z723" s="7" t="s">
        <v>2236</v>
      </c>
    </row>
    <row r="724" spans="1:26" x14ac:dyDescent="0.25">
      <c r="A724" s="7" t="s">
        <v>2195</v>
      </c>
      <c r="B724" s="7" t="s">
        <v>1071</v>
      </c>
      <c r="C724" s="5" t="s">
        <v>12</v>
      </c>
      <c r="D724" s="4" t="s">
        <v>17</v>
      </c>
      <c r="F724" s="4" t="s">
        <v>384</v>
      </c>
      <c r="K724" s="6">
        <v>45398</v>
      </c>
      <c r="N724" s="4" t="s">
        <v>73</v>
      </c>
      <c r="O724" s="6">
        <v>45397</v>
      </c>
      <c r="P724" s="11"/>
      <c r="Q724" s="9">
        <f ca="1">IF(P724="",TODAY()-O724,P724-O724)</f>
        <v>172</v>
      </c>
      <c r="S724" s="5" t="s">
        <v>631</v>
      </c>
      <c r="T724" s="4" t="s">
        <v>38</v>
      </c>
      <c r="U724" s="5" t="s">
        <v>30</v>
      </c>
      <c r="W724" s="5" t="s">
        <v>38</v>
      </c>
      <c r="Z724" s="7" t="s">
        <v>2196</v>
      </c>
    </row>
    <row r="725" spans="1:26" x14ac:dyDescent="0.25">
      <c r="A725" s="7" t="s">
        <v>2197</v>
      </c>
      <c r="B725" s="7" t="s">
        <v>1071</v>
      </c>
      <c r="C725" s="5" t="s">
        <v>12</v>
      </c>
      <c r="D725" s="4" t="s">
        <v>16</v>
      </c>
      <c r="F725" s="4" t="s">
        <v>384</v>
      </c>
      <c r="K725" s="6">
        <v>45398</v>
      </c>
      <c r="N725" s="4" t="s">
        <v>73</v>
      </c>
      <c r="O725" s="6">
        <v>45397</v>
      </c>
      <c r="Q725" s="9">
        <f ca="1">IF(P725="",TODAY()-O725,P725-O725)</f>
        <v>172</v>
      </c>
      <c r="S725" s="5" t="s">
        <v>631</v>
      </c>
      <c r="T725" s="4" t="s">
        <v>38</v>
      </c>
      <c r="U725" s="5" t="s">
        <v>30</v>
      </c>
      <c r="W725" s="5" t="s">
        <v>38</v>
      </c>
      <c r="Z725" s="7" t="s">
        <v>2198</v>
      </c>
    </row>
    <row r="726" spans="1:26" ht="30" x14ac:dyDescent="0.25">
      <c r="A726" s="28" t="s">
        <v>2201</v>
      </c>
      <c r="B726" s="28" t="s">
        <v>1071</v>
      </c>
      <c r="C726" s="14" t="s">
        <v>12</v>
      </c>
      <c r="D726" s="13" t="s">
        <v>311</v>
      </c>
      <c r="E726" s="14" t="s">
        <v>2228</v>
      </c>
      <c r="F726" s="58" t="s">
        <v>2306</v>
      </c>
      <c r="G726" s="15" t="s">
        <v>50</v>
      </c>
      <c r="H726" s="35">
        <v>45426</v>
      </c>
      <c r="I726" s="34">
        <v>45454</v>
      </c>
      <c r="J726" s="13" t="s">
        <v>503</v>
      </c>
      <c r="K726" s="14"/>
      <c r="L726" s="28"/>
      <c r="M726" s="28"/>
      <c r="N726" s="13" t="s">
        <v>73</v>
      </c>
      <c r="O726" s="16">
        <v>45397</v>
      </c>
      <c r="P726" s="36">
        <v>45457</v>
      </c>
      <c r="Q726" s="9">
        <f ca="1">IF(P726="",TODAY()-O726,P726-O726)</f>
        <v>60</v>
      </c>
      <c r="R726" s="13"/>
      <c r="S726" s="14" t="s">
        <v>26</v>
      </c>
      <c r="T726" s="13" t="s">
        <v>38</v>
      </c>
      <c r="U726" s="14" t="s">
        <v>30</v>
      </c>
      <c r="V726" s="13"/>
      <c r="W726" s="14" t="s">
        <v>39</v>
      </c>
      <c r="X726" s="39" t="s">
        <v>2304</v>
      </c>
      <c r="Y726" s="59">
        <v>45454</v>
      </c>
      <c r="Z726" s="28" t="s">
        <v>2305</v>
      </c>
    </row>
    <row r="727" spans="1:26" x14ac:dyDescent="0.25">
      <c r="A727" s="7" t="s">
        <v>2189</v>
      </c>
      <c r="B727" s="7" t="s">
        <v>1071</v>
      </c>
      <c r="C727" s="5" t="s">
        <v>12</v>
      </c>
      <c r="D727" s="4" t="s">
        <v>16</v>
      </c>
      <c r="E727" s="5" t="s">
        <v>25</v>
      </c>
      <c r="F727" s="4" t="s">
        <v>591</v>
      </c>
      <c r="N727" s="4" t="s">
        <v>9</v>
      </c>
      <c r="O727" s="6">
        <v>45399</v>
      </c>
      <c r="Q727" s="9">
        <f ca="1">IF(P727="",TODAY()-O727,P727-O727)</f>
        <v>170</v>
      </c>
      <c r="S727" s="5" t="s">
        <v>1739</v>
      </c>
      <c r="U727" s="5" t="s">
        <v>30</v>
      </c>
      <c r="W727" s="5" t="s">
        <v>39</v>
      </c>
      <c r="Z727" s="7" t="s">
        <v>2190</v>
      </c>
    </row>
    <row r="728" spans="1:26" x14ac:dyDescent="0.25">
      <c r="A728" s="7" t="s">
        <v>2192</v>
      </c>
      <c r="B728" s="7" t="s">
        <v>1071</v>
      </c>
      <c r="C728" s="5" t="s">
        <v>12</v>
      </c>
      <c r="E728" s="5" t="s">
        <v>24</v>
      </c>
      <c r="F728" s="4" t="s">
        <v>384</v>
      </c>
      <c r="K728" s="6">
        <v>45399</v>
      </c>
      <c r="N728" s="4" t="s">
        <v>73</v>
      </c>
      <c r="O728" s="6">
        <v>45399</v>
      </c>
      <c r="Q728" s="9">
        <f ca="1">IF(P728="",TODAY()-O728,P728-O728)</f>
        <v>170</v>
      </c>
      <c r="S728" s="5" t="s">
        <v>631</v>
      </c>
      <c r="T728" s="4" t="s">
        <v>38</v>
      </c>
      <c r="U728" s="5" t="s">
        <v>30</v>
      </c>
      <c r="W728" s="5" t="s">
        <v>38</v>
      </c>
      <c r="Z728" s="7" t="s">
        <v>2193</v>
      </c>
    </row>
    <row r="729" spans="1:26" x14ac:dyDescent="0.25">
      <c r="A729" s="7" t="s">
        <v>2229</v>
      </c>
      <c r="B729" s="7" t="s">
        <v>1071</v>
      </c>
      <c r="C729" s="5" t="s">
        <v>620</v>
      </c>
      <c r="D729" s="4" t="s">
        <v>20</v>
      </c>
      <c r="E729" s="5" t="s">
        <v>25</v>
      </c>
      <c r="F729" s="4" t="s">
        <v>384</v>
      </c>
      <c r="K729" s="6">
        <v>45400</v>
      </c>
      <c r="N729" s="4" t="s">
        <v>73</v>
      </c>
      <c r="O729" s="6">
        <v>45399</v>
      </c>
      <c r="P729" s="11">
        <v>45402</v>
      </c>
      <c r="Q729" s="9">
        <f ca="1">IF(P729="",TODAY()-O729,P729-O729)</f>
        <v>3</v>
      </c>
      <c r="S729" s="5" t="s">
        <v>631</v>
      </c>
      <c r="T729" s="4" t="s">
        <v>38</v>
      </c>
      <c r="U729" s="5" t="s">
        <v>30</v>
      </c>
      <c r="W729" s="5" t="s">
        <v>38</v>
      </c>
      <c r="Z729" s="7" t="s">
        <v>2230</v>
      </c>
    </row>
    <row r="730" spans="1:26" x14ac:dyDescent="0.25">
      <c r="A730" s="7" t="s">
        <v>2199</v>
      </c>
      <c r="B730" s="7" t="s">
        <v>1071</v>
      </c>
      <c r="C730" s="5" t="s">
        <v>12</v>
      </c>
      <c r="E730" s="5" t="s">
        <v>25</v>
      </c>
      <c r="F730" s="4" t="s">
        <v>384</v>
      </c>
      <c r="K730" s="6">
        <v>45400</v>
      </c>
      <c r="L730" s="7" t="s">
        <v>2016</v>
      </c>
      <c r="M730" s="7" t="s">
        <v>2016</v>
      </c>
      <c r="N730" s="4" t="s">
        <v>73</v>
      </c>
      <c r="O730" s="6">
        <v>45399</v>
      </c>
      <c r="P730" s="11">
        <v>45404</v>
      </c>
      <c r="Q730" s="9">
        <f ca="1">IF(P730="",TODAY()-O730,P730-O730)</f>
        <v>5</v>
      </c>
      <c r="S730" s="5" t="s">
        <v>631</v>
      </c>
      <c r="T730" s="4" t="s">
        <v>38</v>
      </c>
      <c r="U730" s="5" t="s">
        <v>30</v>
      </c>
      <c r="W730" s="5" t="s">
        <v>38</v>
      </c>
      <c r="Z730" s="7" t="s">
        <v>2230</v>
      </c>
    </row>
    <row r="731" spans="1:26" x14ac:dyDescent="0.25">
      <c r="A731" s="7" t="s">
        <v>2472</v>
      </c>
      <c r="B731" s="7" t="s">
        <v>1071</v>
      </c>
      <c r="C731" s="5" t="s">
        <v>12</v>
      </c>
      <c r="D731" s="4" t="s">
        <v>16</v>
      </c>
      <c r="E731" s="5" t="s">
        <v>25</v>
      </c>
      <c r="F731" s="4" t="s">
        <v>384</v>
      </c>
      <c r="K731" s="6">
        <v>45399</v>
      </c>
      <c r="O731" s="6">
        <v>45399</v>
      </c>
      <c r="P731" s="11">
        <v>45399</v>
      </c>
      <c r="Q731" s="9">
        <f ca="1">IF(P731="",TODAY()-O731,P731-O731)</f>
        <v>0</v>
      </c>
      <c r="R731" s="4" t="s">
        <v>2039</v>
      </c>
      <c r="S731" s="5" t="s">
        <v>631</v>
      </c>
      <c r="U731" s="5" t="s">
        <v>33</v>
      </c>
      <c r="W731" s="5" t="s">
        <v>112</v>
      </c>
      <c r="Z731" s="7" t="s">
        <v>2471</v>
      </c>
    </row>
    <row r="732" spans="1:26" x14ac:dyDescent="0.25">
      <c r="A732" s="7" t="s">
        <v>2466</v>
      </c>
      <c r="B732" s="7" t="s">
        <v>1071</v>
      </c>
      <c r="C732" s="5" t="s">
        <v>12</v>
      </c>
      <c r="D732" s="4" t="s">
        <v>16</v>
      </c>
      <c r="E732" s="5" t="s">
        <v>2227</v>
      </c>
      <c r="F732" s="4" t="s">
        <v>2457</v>
      </c>
      <c r="L732" s="7" t="s">
        <v>2017</v>
      </c>
      <c r="M732" s="7" t="s">
        <v>2016</v>
      </c>
      <c r="O732" s="6">
        <v>45399</v>
      </c>
      <c r="P732" s="11">
        <v>45399</v>
      </c>
      <c r="Q732" s="9">
        <f ca="1">IF(P732="",TODAY()-O732,P732-O732)</f>
        <v>0</v>
      </c>
      <c r="R732" s="4" t="s">
        <v>42</v>
      </c>
      <c r="S732" s="5" t="s">
        <v>631</v>
      </c>
      <c r="T732" s="4" t="s">
        <v>112</v>
      </c>
      <c r="U732" s="5" t="s">
        <v>30</v>
      </c>
      <c r="W732" s="5" t="s">
        <v>112</v>
      </c>
    </row>
    <row r="733" spans="1:26" x14ac:dyDescent="0.25">
      <c r="A733" s="7" t="s">
        <v>2453</v>
      </c>
      <c r="B733" s="7" t="s">
        <v>1071</v>
      </c>
      <c r="C733" s="5" t="s">
        <v>12</v>
      </c>
      <c r="D733" s="4" t="s">
        <v>20</v>
      </c>
      <c r="E733" s="5" t="s">
        <v>24</v>
      </c>
      <c r="F733" s="4" t="s">
        <v>384</v>
      </c>
      <c r="K733" s="6">
        <v>45399</v>
      </c>
      <c r="L733" s="7" t="s">
        <v>2016</v>
      </c>
      <c r="M733" s="7" t="s">
        <v>2016</v>
      </c>
      <c r="O733" s="6">
        <v>45399</v>
      </c>
      <c r="P733" s="11">
        <v>45399</v>
      </c>
      <c r="Q733" s="9">
        <f ca="1">IF(P733="",TODAY()-O733,P733-O733)</f>
        <v>0</v>
      </c>
      <c r="R733" s="4" t="s">
        <v>2039</v>
      </c>
      <c r="S733" s="5" t="s">
        <v>631</v>
      </c>
      <c r="U733" s="5" t="s">
        <v>30</v>
      </c>
      <c r="W733" s="5" t="s">
        <v>112</v>
      </c>
      <c r="Z733" s="7" t="s">
        <v>2469</v>
      </c>
    </row>
    <row r="734" spans="1:26" x14ac:dyDescent="0.25">
      <c r="A734" s="7" t="s">
        <v>2466</v>
      </c>
      <c r="B734" s="7" t="s">
        <v>1071</v>
      </c>
      <c r="C734" s="5" t="s">
        <v>12</v>
      </c>
      <c r="D734" s="4" t="s">
        <v>20</v>
      </c>
      <c r="E734" s="5" t="s">
        <v>25</v>
      </c>
      <c r="F734" s="4" t="s">
        <v>2457</v>
      </c>
      <c r="K734" s="6">
        <v>45399</v>
      </c>
      <c r="L734" s="7" t="s">
        <v>2016</v>
      </c>
      <c r="M734" s="7" t="s">
        <v>2016</v>
      </c>
      <c r="N734" s="4" t="s">
        <v>73</v>
      </c>
      <c r="O734" s="6">
        <v>45399</v>
      </c>
      <c r="P734" s="11">
        <v>45403</v>
      </c>
      <c r="Q734" s="9">
        <f ca="1">IF(P734="",TODAY()-O734,P734-O734)</f>
        <v>4</v>
      </c>
      <c r="R734" s="4" t="s">
        <v>2039</v>
      </c>
      <c r="S734" s="5" t="s">
        <v>631</v>
      </c>
      <c r="T734" s="4" t="s">
        <v>112</v>
      </c>
      <c r="U734" s="5" t="s">
        <v>30</v>
      </c>
      <c r="W734" s="5" t="s">
        <v>112</v>
      </c>
      <c r="Z734" s="7" t="s">
        <v>2469</v>
      </c>
    </row>
    <row r="735" spans="1:26" x14ac:dyDescent="0.25">
      <c r="A735" s="7" t="s">
        <v>2466</v>
      </c>
      <c r="B735" s="7" t="s">
        <v>1071</v>
      </c>
      <c r="C735" s="5" t="s">
        <v>620</v>
      </c>
      <c r="D735" s="4" t="s">
        <v>16</v>
      </c>
      <c r="E735" s="5" t="s">
        <v>25</v>
      </c>
      <c r="F735" s="4" t="s">
        <v>2470</v>
      </c>
      <c r="K735" s="6">
        <v>45399</v>
      </c>
      <c r="L735" s="7" t="s">
        <v>2016</v>
      </c>
      <c r="M735" s="7" t="s">
        <v>2016</v>
      </c>
      <c r="N735" s="4" t="s">
        <v>73</v>
      </c>
      <c r="O735" s="6">
        <v>45399</v>
      </c>
      <c r="P735" s="11">
        <v>45403</v>
      </c>
      <c r="Q735" s="9">
        <f ca="1">IF(P735="",TODAY()-O735,P735-O735)</f>
        <v>4</v>
      </c>
      <c r="R735" s="4" t="s">
        <v>2039</v>
      </c>
      <c r="S735" s="5" t="s">
        <v>631</v>
      </c>
      <c r="T735" s="4" t="s">
        <v>112</v>
      </c>
      <c r="U735" s="5" t="s">
        <v>30</v>
      </c>
      <c r="W735" s="5" t="s">
        <v>112</v>
      </c>
      <c r="Z735" s="7" t="s">
        <v>2469</v>
      </c>
    </row>
    <row r="736" spans="1:26" x14ac:dyDescent="0.25">
      <c r="A736" s="7" t="s">
        <v>2473</v>
      </c>
      <c r="B736" s="7" t="s">
        <v>1071</v>
      </c>
      <c r="C736" s="5" t="s">
        <v>12</v>
      </c>
      <c r="D736" s="4" t="s">
        <v>713</v>
      </c>
      <c r="E736" s="5" t="s">
        <v>25</v>
      </c>
      <c r="F736" s="4" t="s">
        <v>2457</v>
      </c>
      <c r="K736" s="6">
        <v>45400</v>
      </c>
      <c r="O736" s="6">
        <v>45400</v>
      </c>
      <c r="P736" s="11">
        <v>45400</v>
      </c>
      <c r="Q736" s="9">
        <f ca="1">IF(P736="",TODAY()-O736,P736-O736)</f>
        <v>0</v>
      </c>
      <c r="R736" s="4" t="s">
        <v>2039</v>
      </c>
      <c r="S736" s="5" t="s">
        <v>631</v>
      </c>
      <c r="U736" s="5" t="s">
        <v>33</v>
      </c>
      <c r="W736" s="5" t="s">
        <v>112</v>
      </c>
      <c r="Z736" s="7" t="s">
        <v>2474</v>
      </c>
    </row>
    <row r="737" spans="1:26" x14ac:dyDescent="0.25">
      <c r="A737" s="7" t="s">
        <v>2475</v>
      </c>
      <c r="B737" s="7" t="s">
        <v>1071</v>
      </c>
      <c r="C737" s="5" t="s">
        <v>12</v>
      </c>
      <c r="D737" s="4" t="s">
        <v>16</v>
      </c>
      <c r="E737" s="5" t="s">
        <v>24</v>
      </c>
      <c r="F737" s="4" t="s">
        <v>384</v>
      </c>
      <c r="K737" s="6">
        <v>45400</v>
      </c>
      <c r="O737" s="6">
        <v>45400</v>
      </c>
      <c r="P737" s="11">
        <v>45400</v>
      </c>
      <c r="Q737" s="9">
        <f ca="1">IF(P737="",TODAY()-O737,P737-O737)</f>
        <v>0</v>
      </c>
      <c r="R737" s="4" t="s">
        <v>2039</v>
      </c>
      <c r="S737" s="5" t="s">
        <v>631</v>
      </c>
      <c r="U737" s="5" t="s">
        <v>33</v>
      </c>
      <c r="W737" s="5" t="s">
        <v>112</v>
      </c>
      <c r="Z737" s="7" t="s">
        <v>2474</v>
      </c>
    </row>
    <row r="738" spans="1:26" x14ac:dyDescent="0.25">
      <c r="A738" s="7" t="s">
        <v>2466</v>
      </c>
      <c r="B738" s="7" t="s">
        <v>1071</v>
      </c>
      <c r="C738" s="5" t="s">
        <v>620</v>
      </c>
      <c r="D738" s="4" t="s">
        <v>16</v>
      </c>
      <c r="E738" s="5" t="s">
        <v>25</v>
      </c>
      <c r="F738" s="4" t="s">
        <v>384</v>
      </c>
      <c r="K738" s="6">
        <v>45401</v>
      </c>
      <c r="L738" s="7" t="s">
        <v>2016</v>
      </c>
      <c r="M738" s="7" t="s">
        <v>2016</v>
      </c>
      <c r="O738" s="6">
        <v>45401</v>
      </c>
      <c r="P738" s="11">
        <v>45403</v>
      </c>
      <c r="Q738" s="9">
        <f ca="1">IF(P738="",TODAY()-O738,P738-O738)</f>
        <v>2</v>
      </c>
      <c r="R738" s="4" t="s">
        <v>2039</v>
      </c>
      <c r="S738" s="5" t="s">
        <v>631</v>
      </c>
      <c r="T738" s="4" t="s">
        <v>112</v>
      </c>
      <c r="U738" s="5" t="s">
        <v>30</v>
      </c>
      <c r="W738" s="5" t="s">
        <v>112</v>
      </c>
      <c r="Z738" s="7" t="s">
        <v>2476</v>
      </c>
    </row>
    <row r="739" spans="1:26" x14ac:dyDescent="0.25">
      <c r="A739" s="7" t="s">
        <v>2453</v>
      </c>
      <c r="B739" s="7" t="s">
        <v>1071</v>
      </c>
      <c r="C739" s="5" t="s">
        <v>12</v>
      </c>
      <c r="D739" s="4" t="s">
        <v>20</v>
      </c>
      <c r="E739" s="5" t="s">
        <v>25</v>
      </c>
      <c r="F739" s="4" t="s">
        <v>2457</v>
      </c>
      <c r="K739" s="6">
        <v>45404</v>
      </c>
      <c r="L739" s="7" t="s">
        <v>2016</v>
      </c>
      <c r="M739" s="7" t="s">
        <v>2016</v>
      </c>
      <c r="O739" s="6">
        <v>45404</v>
      </c>
      <c r="P739" s="11">
        <v>45404</v>
      </c>
      <c r="Q739" s="9">
        <f ca="1">IF(P739="",TODAY()-O739,P739-O739)</f>
        <v>0</v>
      </c>
      <c r="R739" s="4" t="s">
        <v>2039</v>
      </c>
      <c r="S739" s="5" t="s">
        <v>631</v>
      </c>
      <c r="U739" s="5" t="s">
        <v>30</v>
      </c>
      <c r="W739" s="5" t="s">
        <v>112</v>
      </c>
    </row>
    <row r="740" spans="1:26" x14ac:dyDescent="0.25">
      <c r="A740" s="7" t="s">
        <v>2466</v>
      </c>
      <c r="B740" s="7" t="s">
        <v>1071</v>
      </c>
      <c r="C740" s="5" t="s">
        <v>12</v>
      </c>
      <c r="D740" s="4" t="s">
        <v>17</v>
      </c>
      <c r="E740" s="5" t="s">
        <v>2228</v>
      </c>
      <c r="F740" s="4" t="s">
        <v>384</v>
      </c>
      <c r="L740" s="7" t="s">
        <v>2017</v>
      </c>
      <c r="M740" s="7" t="s">
        <v>2017</v>
      </c>
      <c r="O740" s="6">
        <v>45405</v>
      </c>
      <c r="P740" s="11">
        <v>45405</v>
      </c>
      <c r="Q740" s="9">
        <f ca="1">IF(P740="",TODAY()-O740,P740-O740)</f>
        <v>0</v>
      </c>
      <c r="R740" s="4" t="s">
        <v>42</v>
      </c>
      <c r="S740" s="5" t="s">
        <v>631</v>
      </c>
      <c r="U740" s="5" t="s">
        <v>30</v>
      </c>
      <c r="W740" s="5" t="s">
        <v>112</v>
      </c>
    </row>
    <row r="741" spans="1:26" x14ac:dyDescent="0.25">
      <c r="A741" s="7" t="s">
        <v>2237</v>
      </c>
      <c r="B741" s="7" t="s">
        <v>1071</v>
      </c>
      <c r="C741" s="5" t="s">
        <v>12</v>
      </c>
      <c r="D741" s="4" t="s">
        <v>17</v>
      </c>
      <c r="E741" s="5" t="s">
        <v>24</v>
      </c>
      <c r="F741" s="4" t="s">
        <v>384</v>
      </c>
      <c r="L741" s="7" t="s">
        <v>2017</v>
      </c>
      <c r="M741" s="7" t="s">
        <v>2016</v>
      </c>
      <c r="N741" s="4" t="s">
        <v>9</v>
      </c>
      <c r="O741" s="6">
        <v>45406</v>
      </c>
      <c r="P741" s="11">
        <v>45406</v>
      </c>
      <c r="Q741" s="9">
        <f ca="1">IF(P741="",TODAY()-O741,P741-O741)</f>
        <v>0</v>
      </c>
      <c r="R741" s="4" t="s">
        <v>42</v>
      </c>
      <c r="S741" s="5" t="s">
        <v>631</v>
      </c>
      <c r="U741" s="5" t="s">
        <v>30</v>
      </c>
      <c r="W741" s="5" t="s">
        <v>1993</v>
      </c>
      <c r="Z741" s="7" t="s">
        <v>2238</v>
      </c>
    </row>
    <row r="742" spans="1:26" x14ac:dyDescent="0.25">
      <c r="A742" s="7" t="s">
        <v>2239</v>
      </c>
      <c r="B742" s="7" t="s">
        <v>1071</v>
      </c>
      <c r="C742" s="5" t="s">
        <v>12</v>
      </c>
      <c r="D742" s="4" t="s">
        <v>16</v>
      </c>
      <c r="N742" s="4" t="s">
        <v>73</v>
      </c>
      <c r="O742" s="6">
        <v>45406</v>
      </c>
      <c r="Q742" s="9">
        <f ca="1">IF(P742="",TODAY()-O742,P742-O742)</f>
        <v>163</v>
      </c>
      <c r="S742" s="5" t="s">
        <v>631</v>
      </c>
      <c r="T742" s="4" t="s">
        <v>38</v>
      </c>
      <c r="W742" s="5" t="s">
        <v>38</v>
      </c>
    </row>
    <row r="743" spans="1:26" x14ac:dyDescent="0.25">
      <c r="A743" s="7" t="s">
        <v>2239</v>
      </c>
      <c r="B743" s="7" t="s">
        <v>1071</v>
      </c>
      <c r="C743" s="5" t="s">
        <v>12</v>
      </c>
      <c r="D743" s="4" t="s">
        <v>16</v>
      </c>
      <c r="N743" s="4" t="s">
        <v>73</v>
      </c>
      <c r="O743" s="6">
        <v>45406</v>
      </c>
      <c r="Q743" s="9">
        <f ca="1">IF(P743="",TODAY()-O743,P743-O743)</f>
        <v>163</v>
      </c>
      <c r="S743" s="5" t="s">
        <v>631</v>
      </c>
      <c r="T743" s="4" t="s">
        <v>38</v>
      </c>
      <c r="W743" s="5" t="s">
        <v>38</v>
      </c>
    </row>
    <row r="744" spans="1:26" x14ac:dyDescent="0.25">
      <c r="A744" s="7" t="s">
        <v>2239</v>
      </c>
      <c r="B744" s="7" t="s">
        <v>1071</v>
      </c>
      <c r="C744" s="5" t="s">
        <v>12</v>
      </c>
      <c r="D744" s="4" t="s">
        <v>20</v>
      </c>
      <c r="N744" s="4" t="s">
        <v>73</v>
      </c>
      <c r="O744" s="6">
        <v>45406</v>
      </c>
      <c r="Q744" s="9">
        <f ca="1">IF(P744="",TODAY()-O744,P744-O744)</f>
        <v>163</v>
      </c>
      <c r="S744" s="5" t="s">
        <v>631</v>
      </c>
      <c r="T744" s="4" t="s">
        <v>38</v>
      </c>
      <c r="W744" s="5" t="s">
        <v>38</v>
      </c>
    </row>
    <row r="745" spans="1:26" x14ac:dyDescent="0.25">
      <c r="A745" s="7" t="s">
        <v>2241</v>
      </c>
      <c r="B745" s="7" t="s">
        <v>1071</v>
      </c>
      <c r="C745" s="5" t="s">
        <v>12</v>
      </c>
      <c r="D745" s="4" t="s">
        <v>20</v>
      </c>
      <c r="E745" s="5" t="s">
        <v>25</v>
      </c>
      <c r="F745" s="4" t="s">
        <v>384</v>
      </c>
      <c r="L745" s="7" t="s">
        <v>2016</v>
      </c>
      <c r="M745" s="7" t="s">
        <v>2016</v>
      </c>
      <c r="O745" s="6">
        <v>45406</v>
      </c>
      <c r="P745" s="11">
        <v>45409</v>
      </c>
      <c r="Q745" s="9">
        <f ca="1">IF(P745="",TODAY()-O745,P745-O745)</f>
        <v>3</v>
      </c>
      <c r="R745" s="4" t="s">
        <v>2039</v>
      </c>
      <c r="S745" s="5" t="s">
        <v>631</v>
      </c>
      <c r="U745" s="5" t="s">
        <v>29</v>
      </c>
      <c r="V745" s="4">
        <v>1063</v>
      </c>
      <c r="W745" s="5" t="s">
        <v>39</v>
      </c>
      <c r="Z745" s="7" t="s">
        <v>2240</v>
      </c>
    </row>
    <row r="746" spans="1:26" x14ac:dyDescent="0.25">
      <c r="A746" s="7" t="s">
        <v>2242</v>
      </c>
      <c r="B746" s="7" t="s">
        <v>1071</v>
      </c>
      <c r="C746" s="5" t="s">
        <v>12</v>
      </c>
      <c r="D746" s="4" t="s">
        <v>311</v>
      </c>
      <c r="E746" s="5" t="s">
        <v>25</v>
      </c>
      <c r="F746" s="4" t="s">
        <v>384</v>
      </c>
      <c r="L746" s="7" t="s">
        <v>2016</v>
      </c>
      <c r="M746" s="7" t="s">
        <v>2016</v>
      </c>
      <c r="O746" s="6">
        <v>45406</v>
      </c>
      <c r="P746" s="11">
        <v>45409</v>
      </c>
      <c r="Q746" s="9">
        <f ca="1">IF(P746="",TODAY()-O746,P746-O746)</f>
        <v>3</v>
      </c>
      <c r="R746" s="4" t="s">
        <v>2039</v>
      </c>
      <c r="S746" s="5" t="s">
        <v>631</v>
      </c>
      <c r="U746" s="5" t="s">
        <v>29</v>
      </c>
      <c r="V746" s="4">
        <v>1064</v>
      </c>
      <c r="W746" s="5" t="s">
        <v>39</v>
      </c>
      <c r="Z746" s="7" t="s">
        <v>2240</v>
      </c>
    </row>
    <row r="747" spans="1:26" x14ac:dyDescent="0.25">
      <c r="A747" s="7" t="s">
        <v>2249</v>
      </c>
      <c r="B747" s="7" t="s">
        <v>1071</v>
      </c>
      <c r="C747" s="5" t="s">
        <v>12</v>
      </c>
      <c r="D747" s="4" t="s">
        <v>174</v>
      </c>
      <c r="E747" s="5" t="s">
        <v>24</v>
      </c>
      <c r="F747" s="4" t="s">
        <v>384</v>
      </c>
      <c r="K747" s="6">
        <v>45406</v>
      </c>
      <c r="L747" s="7" t="s">
        <v>2016</v>
      </c>
      <c r="M747" s="7" t="s">
        <v>2016</v>
      </c>
      <c r="N747" s="4" t="s">
        <v>73</v>
      </c>
      <c r="O747" s="6">
        <v>45406</v>
      </c>
      <c r="P747" s="11">
        <v>45407</v>
      </c>
      <c r="Q747" s="9">
        <f ca="1">IF(P747="",TODAY()-O747,P747-O747)</f>
        <v>1</v>
      </c>
      <c r="R747" s="4" t="s">
        <v>2039</v>
      </c>
      <c r="S747" s="5" t="s">
        <v>631</v>
      </c>
      <c r="T747" s="4" t="s">
        <v>1460</v>
      </c>
      <c r="U747" s="5" t="s">
        <v>29</v>
      </c>
      <c r="W747" s="5" t="s">
        <v>1460</v>
      </c>
      <c r="Z747" s="7" t="s">
        <v>2250</v>
      </c>
    </row>
    <row r="748" spans="1:26" x14ac:dyDescent="0.25">
      <c r="A748" s="7" t="s">
        <v>2466</v>
      </c>
      <c r="B748" s="7" t="s">
        <v>1071</v>
      </c>
      <c r="C748" s="5" t="s">
        <v>12</v>
      </c>
      <c r="D748" s="4" t="s">
        <v>311</v>
      </c>
      <c r="E748" s="5" t="s">
        <v>2228</v>
      </c>
      <c r="F748" s="4" t="s">
        <v>384</v>
      </c>
      <c r="L748" s="7" t="s">
        <v>2017</v>
      </c>
      <c r="M748" s="7" t="s">
        <v>2016</v>
      </c>
      <c r="O748" s="6">
        <v>45406</v>
      </c>
      <c r="P748" s="11">
        <v>45406</v>
      </c>
      <c r="Q748" s="9">
        <f ca="1">IF(P748="",TODAY()-O748,P748-O748)</f>
        <v>0</v>
      </c>
      <c r="R748" s="4" t="s">
        <v>42</v>
      </c>
      <c r="S748" s="5" t="s">
        <v>631</v>
      </c>
      <c r="U748" s="5" t="s">
        <v>30</v>
      </c>
      <c r="W748" s="5" t="s">
        <v>112</v>
      </c>
    </row>
    <row r="749" spans="1:26" x14ac:dyDescent="0.25">
      <c r="A749" s="7" t="s">
        <v>2477</v>
      </c>
      <c r="B749" s="7" t="s">
        <v>1071</v>
      </c>
      <c r="C749" s="5" t="s">
        <v>12</v>
      </c>
      <c r="D749" s="4" t="s">
        <v>1195</v>
      </c>
      <c r="E749" s="5" t="s">
        <v>24</v>
      </c>
      <c r="F749" s="4" t="s">
        <v>384</v>
      </c>
      <c r="K749" s="6">
        <v>45406</v>
      </c>
      <c r="O749" s="6">
        <v>45406</v>
      </c>
      <c r="P749" s="11">
        <v>45406</v>
      </c>
      <c r="Q749" s="9">
        <f ca="1">IF(P749="",TODAY()-O749,P749-O749)</f>
        <v>0</v>
      </c>
      <c r="R749" s="4" t="s">
        <v>2039</v>
      </c>
      <c r="S749" s="5" t="s">
        <v>631</v>
      </c>
      <c r="U749" s="5" t="s">
        <v>33</v>
      </c>
      <c r="W749" s="5" t="s">
        <v>112</v>
      </c>
      <c r="Z749" s="7" t="s">
        <v>2474</v>
      </c>
    </row>
    <row r="750" spans="1:26" x14ac:dyDescent="0.25">
      <c r="A750" s="7" t="s">
        <v>2243</v>
      </c>
      <c r="B750" s="7" t="s">
        <v>1071</v>
      </c>
      <c r="C750" s="5" t="s">
        <v>12</v>
      </c>
      <c r="D750" s="4" t="s">
        <v>17</v>
      </c>
      <c r="E750" s="5" t="s">
        <v>25</v>
      </c>
      <c r="F750" s="4" t="s">
        <v>384</v>
      </c>
      <c r="L750" s="7" t="s">
        <v>2016</v>
      </c>
      <c r="M750" s="7" t="s">
        <v>2016</v>
      </c>
      <c r="O750" s="6">
        <v>45407</v>
      </c>
      <c r="P750" s="11">
        <v>45409</v>
      </c>
      <c r="Q750" s="9">
        <f ca="1">IF(P750="",TODAY()-O750,P750-O750)</f>
        <v>2</v>
      </c>
      <c r="R750" s="4" t="s">
        <v>2039</v>
      </c>
      <c r="S750" s="5" t="s">
        <v>631</v>
      </c>
      <c r="U750" s="5" t="s">
        <v>29</v>
      </c>
      <c r="V750" s="4">
        <v>1065</v>
      </c>
      <c r="W750" s="5" t="s">
        <v>39</v>
      </c>
      <c r="Z750" s="7" t="s">
        <v>2240</v>
      </c>
    </row>
    <row r="751" spans="1:26" x14ac:dyDescent="0.25">
      <c r="A751" s="7" t="s">
        <v>2244</v>
      </c>
      <c r="B751" s="7" t="s">
        <v>1071</v>
      </c>
      <c r="C751" s="5" t="s">
        <v>12</v>
      </c>
      <c r="D751" s="4" t="s">
        <v>174</v>
      </c>
      <c r="E751" s="5" t="s">
        <v>24</v>
      </c>
      <c r="F751" s="4" t="s">
        <v>384</v>
      </c>
      <c r="L751" s="7" t="s">
        <v>2016</v>
      </c>
      <c r="M751" s="7" t="s">
        <v>2016</v>
      </c>
      <c r="O751" s="6">
        <v>45407</v>
      </c>
      <c r="P751" s="11">
        <v>45409</v>
      </c>
      <c r="Q751" s="9">
        <f ca="1">IF(P751="",TODAY()-O751,P751-O751)</f>
        <v>2</v>
      </c>
      <c r="R751" s="4" t="s">
        <v>2039</v>
      </c>
      <c r="S751" s="5" t="s">
        <v>631</v>
      </c>
      <c r="U751" s="5" t="s">
        <v>29</v>
      </c>
      <c r="V751" s="4">
        <v>1066</v>
      </c>
      <c r="W751" s="5" t="s">
        <v>39</v>
      </c>
      <c r="Z751" s="7" t="s">
        <v>2240</v>
      </c>
    </row>
    <row r="752" spans="1:26" x14ac:dyDescent="0.25">
      <c r="A752" s="7" t="s">
        <v>2245</v>
      </c>
      <c r="B752" s="7" t="s">
        <v>1071</v>
      </c>
      <c r="C752" s="5" t="s">
        <v>1489</v>
      </c>
      <c r="D752" s="4" t="s">
        <v>654</v>
      </c>
      <c r="E752" s="5" t="s">
        <v>2227</v>
      </c>
      <c r="F752" s="4" t="s">
        <v>384</v>
      </c>
      <c r="G752" s="9" t="s">
        <v>51</v>
      </c>
      <c r="H752" s="32">
        <v>45442</v>
      </c>
      <c r="I752" s="33">
        <v>45463</v>
      </c>
      <c r="J752" s="4" t="s">
        <v>102</v>
      </c>
      <c r="K752" s="6">
        <v>45448</v>
      </c>
      <c r="N752" s="4" t="s">
        <v>73</v>
      </c>
      <c r="O752" s="6">
        <v>45407</v>
      </c>
      <c r="Q752" s="9">
        <f ca="1">IF(P752="",TODAY()-O752,P752-O752)</f>
        <v>162</v>
      </c>
      <c r="S752" s="5" t="s">
        <v>121</v>
      </c>
      <c r="T752" s="4" t="s">
        <v>2255</v>
      </c>
      <c r="U752" s="5" t="s">
        <v>30</v>
      </c>
      <c r="V752" s="4">
        <v>1071</v>
      </c>
      <c r="W752" s="5" t="s">
        <v>39</v>
      </c>
      <c r="X752" s="38" t="s">
        <v>2324</v>
      </c>
      <c r="Y752" s="44">
        <v>45448</v>
      </c>
      <c r="Z752" s="7" t="s">
        <v>2256</v>
      </c>
    </row>
    <row r="753" spans="1:26" ht="30" x14ac:dyDescent="0.25">
      <c r="A753" s="7" t="s">
        <v>2246</v>
      </c>
      <c r="B753" s="7" t="s">
        <v>1071</v>
      </c>
      <c r="C753" s="5" t="s">
        <v>620</v>
      </c>
      <c r="D753" s="4" t="s">
        <v>16</v>
      </c>
      <c r="E753" s="5" t="s">
        <v>2227</v>
      </c>
      <c r="F753" s="46" t="s">
        <v>2328</v>
      </c>
      <c r="G753" s="9" t="s">
        <v>51</v>
      </c>
      <c r="H753" s="32">
        <v>45442</v>
      </c>
      <c r="I753" s="33">
        <v>45463</v>
      </c>
      <c r="J753" s="4" t="s">
        <v>102</v>
      </c>
      <c r="N753" s="4" t="s">
        <v>73</v>
      </c>
      <c r="O753" s="6">
        <v>45407</v>
      </c>
      <c r="P753" s="11">
        <v>45478</v>
      </c>
      <c r="Q753" s="9">
        <f ca="1">IF(P753="",TODAY()-O753,P753-O753)</f>
        <v>71</v>
      </c>
      <c r="R753" s="4" t="s">
        <v>41</v>
      </c>
      <c r="S753" s="5" t="s">
        <v>121</v>
      </c>
      <c r="T753" s="4" t="s">
        <v>2255</v>
      </c>
      <c r="U753" s="5" t="s">
        <v>30</v>
      </c>
      <c r="V753" s="4">
        <v>1072</v>
      </c>
      <c r="W753" s="5" t="s">
        <v>39</v>
      </c>
      <c r="X753" s="38" t="s">
        <v>2327</v>
      </c>
      <c r="Y753" s="44">
        <v>45442</v>
      </c>
      <c r="Z753" s="7" t="s">
        <v>2391</v>
      </c>
    </row>
    <row r="754" spans="1:26" ht="30" x14ac:dyDescent="0.25">
      <c r="A754" s="7" t="s">
        <v>2247</v>
      </c>
      <c r="B754" s="7" t="s">
        <v>1071</v>
      </c>
      <c r="C754" s="5" t="s">
        <v>12</v>
      </c>
      <c r="D754" s="4" t="s">
        <v>16</v>
      </c>
      <c r="E754" s="5" t="s">
        <v>2227</v>
      </c>
      <c r="F754" s="46" t="s">
        <v>2328</v>
      </c>
      <c r="G754" s="9" t="s">
        <v>51</v>
      </c>
      <c r="H754" s="32">
        <v>45442</v>
      </c>
      <c r="I754" s="33">
        <v>45463</v>
      </c>
      <c r="J754" s="4" t="s">
        <v>102</v>
      </c>
      <c r="N754" s="4" t="s">
        <v>73</v>
      </c>
      <c r="O754" s="6">
        <v>45407</v>
      </c>
      <c r="P754" s="11">
        <v>45481</v>
      </c>
      <c r="Q754" s="9">
        <f ca="1">IF(P754="",TODAY()-O754,P754-O754)</f>
        <v>74</v>
      </c>
      <c r="R754" s="4" t="s">
        <v>41</v>
      </c>
      <c r="S754" s="5" t="s">
        <v>121</v>
      </c>
      <c r="T754" s="4" t="s">
        <v>2255</v>
      </c>
      <c r="U754" s="5" t="s">
        <v>30</v>
      </c>
      <c r="V754" s="4">
        <v>1073</v>
      </c>
      <c r="W754" s="5" t="s">
        <v>39</v>
      </c>
      <c r="X754" s="38" t="s">
        <v>2325</v>
      </c>
      <c r="Y754" s="44">
        <v>45442</v>
      </c>
      <c r="Z754" s="7" t="s">
        <v>2391</v>
      </c>
    </row>
    <row r="755" spans="1:26" ht="30" x14ac:dyDescent="0.25">
      <c r="A755" s="7" t="s">
        <v>2248</v>
      </c>
      <c r="B755" s="7" t="s">
        <v>1071</v>
      </c>
      <c r="C755" s="5" t="s">
        <v>12</v>
      </c>
      <c r="D755" s="4" t="s">
        <v>17</v>
      </c>
      <c r="E755" s="5" t="s">
        <v>2228</v>
      </c>
      <c r="F755" s="46" t="s">
        <v>2328</v>
      </c>
      <c r="G755" s="9" t="s">
        <v>51</v>
      </c>
      <c r="H755" s="32">
        <v>45442</v>
      </c>
      <c r="I755" s="33">
        <v>45463</v>
      </c>
      <c r="J755" s="4" t="s">
        <v>102</v>
      </c>
      <c r="N755" s="4" t="s">
        <v>73</v>
      </c>
      <c r="O755" s="6">
        <v>45407</v>
      </c>
      <c r="P755" s="11">
        <v>45485</v>
      </c>
      <c r="Q755" s="9">
        <f ca="1">IF(P755="",TODAY()-O755,P755-O755)</f>
        <v>78</v>
      </c>
      <c r="R755" s="4" t="s">
        <v>41</v>
      </c>
      <c r="S755" s="5" t="s">
        <v>121</v>
      </c>
      <c r="T755" s="4" t="s">
        <v>2255</v>
      </c>
      <c r="U755" s="5" t="s">
        <v>30</v>
      </c>
      <c r="V755" s="4">
        <v>1074</v>
      </c>
      <c r="W755" s="5" t="s">
        <v>39</v>
      </c>
      <c r="X755" s="38" t="s">
        <v>2326</v>
      </c>
      <c r="Y755" s="44">
        <v>45442</v>
      </c>
      <c r="Z755" s="7" t="s">
        <v>2391</v>
      </c>
    </row>
    <row r="756" spans="1:26" x14ac:dyDescent="0.25">
      <c r="A756" s="7" t="s">
        <v>2466</v>
      </c>
      <c r="B756" s="7" t="s">
        <v>1071</v>
      </c>
      <c r="C756" s="5" t="s">
        <v>12</v>
      </c>
      <c r="D756" s="4" t="s">
        <v>19</v>
      </c>
      <c r="E756" s="5" t="s">
        <v>24</v>
      </c>
      <c r="F756" s="4" t="s">
        <v>384</v>
      </c>
      <c r="K756" s="6">
        <v>45407</v>
      </c>
      <c r="L756" s="7" t="s">
        <v>2016</v>
      </c>
      <c r="M756" s="7" t="s">
        <v>2016</v>
      </c>
      <c r="O756" s="6">
        <v>45407</v>
      </c>
      <c r="P756" s="11">
        <v>45407</v>
      </c>
      <c r="Q756" s="9">
        <f ca="1">IF(P756="",TODAY()-O756,P756-O756)</f>
        <v>0</v>
      </c>
      <c r="R756" s="4" t="s">
        <v>2039</v>
      </c>
      <c r="S756" s="5" t="s">
        <v>631</v>
      </c>
      <c r="U756" s="5" t="s">
        <v>30</v>
      </c>
      <c r="W756" s="5" t="s">
        <v>112</v>
      </c>
    </row>
    <row r="757" spans="1:26" x14ac:dyDescent="0.25">
      <c r="A757" s="7" t="s">
        <v>2308</v>
      </c>
      <c r="B757" s="7" t="s">
        <v>1071</v>
      </c>
      <c r="C757" s="5" t="s">
        <v>12</v>
      </c>
      <c r="D757" s="4" t="s">
        <v>16</v>
      </c>
      <c r="E757" s="5" t="s">
        <v>2227</v>
      </c>
      <c r="F757" s="4" t="s">
        <v>583</v>
      </c>
      <c r="G757" s="9" t="s">
        <v>50</v>
      </c>
      <c r="H757" s="32">
        <v>45426</v>
      </c>
      <c r="I757" s="33">
        <v>45454</v>
      </c>
      <c r="J757" s="4" t="s">
        <v>503</v>
      </c>
      <c r="N757" s="4" t="s">
        <v>73</v>
      </c>
      <c r="O757" s="6">
        <v>45408</v>
      </c>
      <c r="P757" s="11">
        <v>45459</v>
      </c>
      <c r="Q757" s="9">
        <f ca="1">IF(P757="",TODAY()-O757,P757-O757)</f>
        <v>51</v>
      </c>
      <c r="R757" s="4" t="s">
        <v>41</v>
      </c>
      <c r="S757" s="5" t="s">
        <v>26</v>
      </c>
      <c r="T757" s="4" t="s">
        <v>38</v>
      </c>
      <c r="U757" s="5" t="s">
        <v>30</v>
      </c>
      <c r="W757" s="5" t="s">
        <v>38</v>
      </c>
      <c r="X757" s="38" t="s">
        <v>2309</v>
      </c>
      <c r="Y757" s="44">
        <v>45454</v>
      </c>
      <c r="Z757" s="7" t="s">
        <v>2310</v>
      </c>
    </row>
    <row r="758" spans="1:26" x14ac:dyDescent="0.25">
      <c r="A758" s="7" t="s">
        <v>2466</v>
      </c>
      <c r="B758" s="7" t="s">
        <v>1071</v>
      </c>
      <c r="C758" s="5" t="s">
        <v>620</v>
      </c>
      <c r="D758" s="4" t="s">
        <v>19</v>
      </c>
      <c r="E758" s="5" t="s">
        <v>25</v>
      </c>
      <c r="F758" s="4" t="s">
        <v>2457</v>
      </c>
      <c r="K758" s="6">
        <v>45408</v>
      </c>
      <c r="N758" s="4" t="s">
        <v>73</v>
      </c>
      <c r="O758" s="6">
        <v>45408</v>
      </c>
      <c r="P758" s="11">
        <v>45412</v>
      </c>
      <c r="Q758" s="9">
        <f ca="1">IF(P758="",TODAY()-O758,P758-O758)</f>
        <v>4</v>
      </c>
      <c r="R758" s="4" t="s">
        <v>2039</v>
      </c>
      <c r="S758" s="5" t="s">
        <v>631</v>
      </c>
      <c r="T758" s="4" t="s">
        <v>112</v>
      </c>
      <c r="U758" s="5" t="s">
        <v>30</v>
      </c>
      <c r="W758" s="5" t="s">
        <v>112</v>
      </c>
      <c r="Z758" s="7" t="s">
        <v>2478</v>
      </c>
    </row>
    <row r="759" spans="1:26" x14ac:dyDescent="0.25">
      <c r="A759" s="7" t="s">
        <v>2463</v>
      </c>
      <c r="B759" s="7" t="s">
        <v>1071</v>
      </c>
      <c r="C759" s="5" t="s">
        <v>12</v>
      </c>
      <c r="D759" s="4" t="s">
        <v>20</v>
      </c>
      <c r="E759" s="5" t="s">
        <v>24</v>
      </c>
      <c r="F759" s="4" t="s">
        <v>384</v>
      </c>
      <c r="K759" s="6">
        <v>45411</v>
      </c>
      <c r="L759" s="7" t="s">
        <v>2016</v>
      </c>
      <c r="M759" s="7" t="s">
        <v>2016</v>
      </c>
      <c r="O759" s="6">
        <v>45411</v>
      </c>
      <c r="P759" s="11">
        <v>45411</v>
      </c>
      <c r="Q759" s="9">
        <f ca="1">IF(P759="",TODAY()-O759,P759-O759)</f>
        <v>0</v>
      </c>
      <c r="R759" s="4" t="s">
        <v>2039</v>
      </c>
      <c r="S759" s="5" t="s">
        <v>631</v>
      </c>
      <c r="U759" s="5" t="s">
        <v>30</v>
      </c>
      <c r="W759" s="5" t="s">
        <v>112</v>
      </c>
    </row>
    <row r="760" spans="1:26" x14ac:dyDescent="0.25">
      <c r="A760" s="7" t="s">
        <v>2275</v>
      </c>
      <c r="B760" s="7" t="s">
        <v>1071</v>
      </c>
      <c r="C760" s="5" t="s">
        <v>620</v>
      </c>
      <c r="D760" s="4" t="s">
        <v>1195</v>
      </c>
      <c r="E760" s="5" t="s">
        <v>2228</v>
      </c>
      <c r="F760" s="4" t="s">
        <v>384</v>
      </c>
      <c r="G760" s="9" t="s">
        <v>51</v>
      </c>
      <c r="H760" s="32">
        <v>45441</v>
      </c>
      <c r="I760" s="33">
        <v>45462</v>
      </c>
      <c r="N760" s="4" t="s">
        <v>73</v>
      </c>
      <c r="O760" s="6">
        <v>45413</v>
      </c>
      <c r="Q760" s="9">
        <f ca="1">IF(P760="",TODAY()-O760,P760-O760)</f>
        <v>156</v>
      </c>
      <c r="S760" s="5" t="s">
        <v>631</v>
      </c>
      <c r="T760" s="4" t="s">
        <v>112</v>
      </c>
      <c r="U760" s="5" t="s">
        <v>31</v>
      </c>
    </row>
    <row r="761" spans="1:26" x14ac:dyDescent="0.25">
      <c r="A761" s="7" t="s">
        <v>2384</v>
      </c>
      <c r="B761" s="7" t="s">
        <v>1071</v>
      </c>
      <c r="C761" s="5" t="s">
        <v>12</v>
      </c>
      <c r="D761" s="4" t="s">
        <v>311</v>
      </c>
      <c r="E761" s="5" t="s">
        <v>25</v>
      </c>
      <c r="F761" s="4" t="s">
        <v>1286</v>
      </c>
      <c r="G761" s="9" t="s">
        <v>51</v>
      </c>
      <c r="H761" s="32">
        <v>45485</v>
      </c>
      <c r="I761" s="33">
        <v>45510</v>
      </c>
      <c r="J761" s="4" t="s">
        <v>102</v>
      </c>
      <c r="K761" s="6">
        <v>45510</v>
      </c>
      <c r="N761" s="4" t="s">
        <v>73</v>
      </c>
      <c r="O761" s="6">
        <v>45414</v>
      </c>
      <c r="Q761" s="9">
        <f ca="1">IF(P761="",TODAY()-O761,P761-O761)</f>
        <v>155</v>
      </c>
      <c r="S761" s="5" t="s">
        <v>27</v>
      </c>
      <c r="T761" s="4" t="s">
        <v>114</v>
      </c>
      <c r="U761" s="5" t="s">
        <v>33</v>
      </c>
      <c r="W761" s="5" t="s">
        <v>39</v>
      </c>
      <c r="X761" s="38" t="s">
        <v>2758</v>
      </c>
      <c r="Y761" s="44">
        <v>45549</v>
      </c>
      <c r="Z761" s="7" t="s">
        <v>2759</v>
      </c>
    </row>
    <row r="762" spans="1:26" x14ac:dyDescent="0.25">
      <c r="A762" s="7" t="s">
        <v>2257</v>
      </c>
      <c r="B762" s="7" t="s">
        <v>1071</v>
      </c>
      <c r="C762" s="5" t="s">
        <v>12</v>
      </c>
      <c r="D762" s="4" t="s">
        <v>16</v>
      </c>
      <c r="E762" s="5" t="s">
        <v>2228</v>
      </c>
      <c r="F762" s="4" t="s">
        <v>2261</v>
      </c>
      <c r="G762" s="9" t="s">
        <v>50</v>
      </c>
      <c r="H762" s="32">
        <v>45485</v>
      </c>
      <c r="N762" s="4" t="s">
        <v>73</v>
      </c>
      <c r="O762" s="6">
        <v>45414</v>
      </c>
      <c r="P762" s="11">
        <v>45488</v>
      </c>
      <c r="Q762" s="9">
        <f ca="1">IF(P762="",TODAY()-O762,P762-O762)</f>
        <v>74</v>
      </c>
      <c r="R762" s="4" t="s">
        <v>43</v>
      </c>
      <c r="S762" s="5" t="s">
        <v>28</v>
      </c>
      <c r="T762" s="4" t="s">
        <v>114</v>
      </c>
      <c r="U762" s="5" t="s">
        <v>33</v>
      </c>
      <c r="W762" s="5" t="s">
        <v>39</v>
      </c>
    </row>
    <row r="763" spans="1:26" x14ac:dyDescent="0.25">
      <c r="A763" s="7" t="s">
        <v>2258</v>
      </c>
      <c r="B763" s="7" t="s">
        <v>1071</v>
      </c>
      <c r="C763" s="5" t="s">
        <v>12</v>
      </c>
      <c r="D763" s="4" t="s">
        <v>16</v>
      </c>
      <c r="E763" s="5" t="s">
        <v>2228</v>
      </c>
      <c r="F763" s="4" t="s">
        <v>2261</v>
      </c>
      <c r="G763" s="9" t="s">
        <v>50</v>
      </c>
      <c r="H763" s="32">
        <v>45485</v>
      </c>
      <c r="N763" s="4" t="s">
        <v>73</v>
      </c>
      <c r="O763" s="6">
        <v>45414</v>
      </c>
      <c r="P763" s="11">
        <v>45488</v>
      </c>
      <c r="Q763" s="9">
        <f ca="1">IF(P763="",TODAY()-O763,P763-O763)</f>
        <v>74</v>
      </c>
      <c r="R763" s="4" t="s">
        <v>42</v>
      </c>
      <c r="S763" s="5" t="s">
        <v>28</v>
      </c>
      <c r="T763" s="4" t="s">
        <v>114</v>
      </c>
      <c r="U763" s="5" t="s">
        <v>33</v>
      </c>
      <c r="W763" s="5" t="s">
        <v>39</v>
      </c>
    </row>
    <row r="764" spans="1:26" x14ac:dyDescent="0.25">
      <c r="A764" s="7" t="s">
        <v>2259</v>
      </c>
      <c r="B764" s="7" t="s">
        <v>1071</v>
      </c>
      <c r="C764" s="5" t="s">
        <v>12</v>
      </c>
      <c r="D764" s="4" t="s">
        <v>311</v>
      </c>
      <c r="E764" s="5" t="s">
        <v>2227</v>
      </c>
      <c r="F764" s="4" t="s">
        <v>2261</v>
      </c>
      <c r="G764" s="9" t="s">
        <v>51</v>
      </c>
      <c r="H764" s="32">
        <v>45485</v>
      </c>
      <c r="I764" s="33">
        <v>45510</v>
      </c>
      <c r="J764" s="4" t="s">
        <v>102</v>
      </c>
      <c r="N764" s="4" t="s">
        <v>73</v>
      </c>
      <c r="O764" s="6">
        <v>45414</v>
      </c>
      <c r="P764" s="11">
        <v>45550</v>
      </c>
      <c r="Q764" s="9">
        <f ca="1">IF(P764="",TODAY()-O764,P764-O764)</f>
        <v>136</v>
      </c>
      <c r="R764" s="4" t="s">
        <v>41</v>
      </c>
      <c r="S764" s="5" t="s">
        <v>28</v>
      </c>
      <c r="T764" s="4" t="s">
        <v>114</v>
      </c>
      <c r="U764" s="5" t="s">
        <v>33</v>
      </c>
      <c r="W764" s="5" t="s">
        <v>39</v>
      </c>
      <c r="X764" s="38" t="s">
        <v>2756</v>
      </c>
      <c r="Y764" s="44">
        <v>45549</v>
      </c>
      <c r="Z764" s="7" t="s">
        <v>2755</v>
      </c>
    </row>
    <row r="765" spans="1:26" x14ac:dyDescent="0.25">
      <c r="A765" s="7" t="s">
        <v>2260</v>
      </c>
      <c r="B765" s="7" t="s">
        <v>1071</v>
      </c>
      <c r="C765" s="5" t="s">
        <v>12</v>
      </c>
      <c r="D765" s="4" t="s">
        <v>16</v>
      </c>
      <c r="E765" s="5" t="s">
        <v>2228</v>
      </c>
      <c r="F765" s="4" t="s">
        <v>2261</v>
      </c>
      <c r="G765" s="9" t="s">
        <v>51</v>
      </c>
      <c r="H765" s="32">
        <v>45485</v>
      </c>
      <c r="I765" s="33">
        <v>45510</v>
      </c>
      <c r="J765" s="4" t="s">
        <v>102</v>
      </c>
      <c r="N765" s="4" t="s">
        <v>73</v>
      </c>
      <c r="O765" s="6">
        <v>45414</v>
      </c>
      <c r="P765" s="11">
        <v>45554</v>
      </c>
      <c r="Q765" s="9">
        <f ca="1">IF(P765="",TODAY()-O765,P765-O765)</f>
        <v>140</v>
      </c>
      <c r="R765" s="4" t="s">
        <v>41</v>
      </c>
      <c r="S765" s="5" t="s">
        <v>28</v>
      </c>
      <c r="T765" s="4" t="s">
        <v>114</v>
      </c>
      <c r="U765" s="5" t="s">
        <v>33</v>
      </c>
      <c r="W765" s="5" t="s">
        <v>39</v>
      </c>
      <c r="X765" s="38" t="s">
        <v>2757</v>
      </c>
      <c r="Y765" s="44">
        <v>45549</v>
      </c>
      <c r="Z765" s="7" t="s">
        <v>2755</v>
      </c>
    </row>
    <row r="766" spans="1:26" x14ac:dyDescent="0.25">
      <c r="A766" s="7" t="s">
        <v>2479</v>
      </c>
      <c r="B766" s="7" t="s">
        <v>1071</v>
      </c>
      <c r="C766" s="5" t="s">
        <v>12</v>
      </c>
      <c r="D766" s="4" t="s">
        <v>20</v>
      </c>
      <c r="E766" s="5" t="s">
        <v>2227</v>
      </c>
      <c r="F766" s="4" t="s">
        <v>384</v>
      </c>
      <c r="L766" s="7" t="s">
        <v>2017</v>
      </c>
      <c r="M766" s="7" t="s">
        <v>2017</v>
      </c>
      <c r="O766" s="6">
        <v>45415</v>
      </c>
      <c r="P766" s="11">
        <v>45415</v>
      </c>
      <c r="Q766" s="9">
        <f ca="1">IF(P766="",TODAY()-O766,P766-O766)</f>
        <v>0</v>
      </c>
      <c r="R766" s="4" t="s">
        <v>42</v>
      </c>
      <c r="S766" s="5" t="s">
        <v>631</v>
      </c>
      <c r="U766" s="5" t="s">
        <v>31</v>
      </c>
      <c r="W766" s="5" t="s">
        <v>112</v>
      </c>
    </row>
    <row r="767" spans="1:26" x14ac:dyDescent="0.25">
      <c r="A767" s="7" t="s">
        <v>2480</v>
      </c>
      <c r="B767" s="7" t="s">
        <v>1071</v>
      </c>
      <c r="C767" s="5" t="s">
        <v>12</v>
      </c>
      <c r="D767" s="4" t="s">
        <v>16</v>
      </c>
      <c r="E767" s="5" t="s">
        <v>24</v>
      </c>
      <c r="F767" s="4" t="s">
        <v>384</v>
      </c>
      <c r="K767" s="6">
        <v>45415</v>
      </c>
      <c r="O767" s="6">
        <v>45415</v>
      </c>
      <c r="P767" s="11">
        <v>45415</v>
      </c>
      <c r="Q767" s="9">
        <f ca="1">IF(P767="",TODAY()-O767,P767-O767)</f>
        <v>0</v>
      </c>
      <c r="R767" s="4" t="s">
        <v>2039</v>
      </c>
      <c r="S767" s="5" t="s">
        <v>631</v>
      </c>
      <c r="U767" s="5" t="s">
        <v>31</v>
      </c>
      <c r="W767" s="5" t="s">
        <v>112</v>
      </c>
      <c r="Z767" s="7" t="s">
        <v>2481</v>
      </c>
    </row>
    <row r="768" spans="1:26" x14ac:dyDescent="0.25">
      <c r="A768" s="7" t="s">
        <v>2718</v>
      </c>
      <c r="B768" s="7" t="s">
        <v>1071</v>
      </c>
      <c r="C768" s="5" t="s">
        <v>12</v>
      </c>
      <c r="D768" s="4" t="s">
        <v>20</v>
      </c>
      <c r="E768" s="5" t="s">
        <v>25</v>
      </c>
      <c r="F768" s="4" t="s">
        <v>384</v>
      </c>
      <c r="N768" s="4" t="s">
        <v>73</v>
      </c>
      <c r="O768" s="6">
        <v>45416</v>
      </c>
      <c r="Q768" s="9">
        <f ca="1">IF(P768="",TODAY()-O768,P768-O768)</f>
        <v>153</v>
      </c>
    </row>
    <row r="769" spans="1:26" x14ac:dyDescent="0.25">
      <c r="A769" s="7" t="s">
        <v>2715</v>
      </c>
      <c r="B769" s="7" t="s">
        <v>1071</v>
      </c>
      <c r="C769" s="5" t="s">
        <v>12</v>
      </c>
      <c r="D769" s="4" t="s">
        <v>16</v>
      </c>
      <c r="E769" s="5" t="s">
        <v>2227</v>
      </c>
      <c r="F769" s="4" t="s">
        <v>2719</v>
      </c>
      <c r="N769" s="4" t="s">
        <v>73</v>
      </c>
      <c r="O769" s="6">
        <v>45416</v>
      </c>
      <c r="Q769" s="9">
        <f ca="1">IF(P769="",TODAY()-O769,P769-O769)</f>
        <v>153</v>
      </c>
      <c r="S769" s="5" t="s">
        <v>28</v>
      </c>
    </row>
    <row r="770" spans="1:26" x14ac:dyDescent="0.25">
      <c r="A770" s="7" t="s">
        <v>2716</v>
      </c>
      <c r="B770" s="7" t="s">
        <v>1071</v>
      </c>
      <c r="C770" s="5" t="s">
        <v>12</v>
      </c>
      <c r="D770" s="4" t="s">
        <v>20</v>
      </c>
      <c r="E770" s="5" t="s">
        <v>2227</v>
      </c>
      <c r="F770" s="4" t="s">
        <v>2719</v>
      </c>
      <c r="G770" s="9" t="s">
        <v>51</v>
      </c>
      <c r="H770" s="32">
        <v>45476</v>
      </c>
      <c r="I770" s="33">
        <v>45505</v>
      </c>
      <c r="J770" s="4" t="s">
        <v>503</v>
      </c>
      <c r="N770" s="4" t="s">
        <v>73</v>
      </c>
      <c r="O770" s="6">
        <v>45416</v>
      </c>
      <c r="P770" s="11">
        <v>45547</v>
      </c>
      <c r="Q770" s="9">
        <f ca="1">IF(P770="",TODAY()-O770,P770-O770)</f>
        <v>131</v>
      </c>
      <c r="R770" s="4" t="s">
        <v>41</v>
      </c>
      <c r="S770" s="5" t="s">
        <v>28</v>
      </c>
      <c r="U770" s="5" t="s">
        <v>30</v>
      </c>
      <c r="W770" s="5" t="s">
        <v>39</v>
      </c>
      <c r="X770" s="38" t="s">
        <v>2753</v>
      </c>
      <c r="Y770" s="44">
        <v>45505</v>
      </c>
      <c r="Z770" s="7" t="s">
        <v>2746</v>
      </c>
    </row>
    <row r="771" spans="1:26" x14ac:dyDescent="0.25">
      <c r="A771" s="7" t="s">
        <v>2754</v>
      </c>
      <c r="B771" s="7" t="s">
        <v>1071</v>
      </c>
      <c r="C771" s="5" t="s">
        <v>620</v>
      </c>
      <c r="D771" s="4" t="s">
        <v>20</v>
      </c>
      <c r="E771" s="5" t="s">
        <v>24</v>
      </c>
      <c r="F771" s="4" t="s">
        <v>2719</v>
      </c>
      <c r="G771" s="9" t="s">
        <v>51</v>
      </c>
      <c r="H771" s="32">
        <v>45476</v>
      </c>
      <c r="I771" s="33">
        <v>45505</v>
      </c>
      <c r="J771" s="4" t="s">
        <v>503</v>
      </c>
      <c r="K771" s="6">
        <v>45539</v>
      </c>
      <c r="N771" s="4" t="s">
        <v>73</v>
      </c>
      <c r="O771" s="6">
        <v>45416</v>
      </c>
      <c r="P771" s="11">
        <v>45548</v>
      </c>
      <c r="Q771" s="9">
        <f ca="1">IF(P771="",TODAY()-O771,P771-O771)</f>
        <v>132</v>
      </c>
      <c r="R771" s="4" t="s">
        <v>41</v>
      </c>
      <c r="S771" s="5" t="s">
        <v>28</v>
      </c>
      <c r="U771" s="5" t="s">
        <v>30</v>
      </c>
      <c r="W771" s="5" t="s">
        <v>39</v>
      </c>
      <c r="X771" s="38" t="s">
        <v>2752</v>
      </c>
      <c r="Y771" s="44">
        <v>45505</v>
      </c>
      <c r="Z771" s="7" t="s">
        <v>2746</v>
      </c>
    </row>
    <row r="772" spans="1:26" x14ac:dyDescent="0.25">
      <c r="A772" s="7" t="s">
        <v>2548</v>
      </c>
      <c r="B772" s="7" t="s">
        <v>1071</v>
      </c>
      <c r="C772" s="5" t="s">
        <v>12</v>
      </c>
      <c r="D772" s="4" t="s">
        <v>16</v>
      </c>
      <c r="E772" s="5" t="s">
        <v>25</v>
      </c>
      <c r="K772" s="6">
        <v>45478</v>
      </c>
      <c r="N772" s="4" t="s">
        <v>73</v>
      </c>
      <c r="O772" s="6">
        <v>45417</v>
      </c>
      <c r="Q772" s="9">
        <f ca="1">IF(P772="",TODAY()-O772,P772-O772)</f>
        <v>152</v>
      </c>
      <c r="S772" s="5" t="s">
        <v>26</v>
      </c>
      <c r="T772" s="4" t="s">
        <v>2557</v>
      </c>
      <c r="U772" s="5" t="s">
        <v>30</v>
      </c>
      <c r="W772" s="5" t="s">
        <v>39</v>
      </c>
    </row>
    <row r="773" spans="1:26" x14ac:dyDescent="0.25">
      <c r="A773" s="7" t="s">
        <v>2549</v>
      </c>
      <c r="B773" s="7" t="s">
        <v>1071</v>
      </c>
      <c r="C773" s="5" t="s">
        <v>12</v>
      </c>
      <c r="D773" s="4" t="s">
        <v>20</v>
      </c>
      <c r="E773" s="5" t="s">
        <v>2227</v>
      </c>
      <c r="F773" s="4" t="s">
        <v>2552</v>
      </c>
      <c r="G773" s="9" t="s">
        <v>51</v>
      </c>
      <c r="H773" s="32">
        <v>45474</v>
      </c>
      <c r="I773" s="9" t="s">
        <v>2732</v>
      </c>
      <c r="J773" s="4" t="s">
        <v>503</v>
      </c>
      <c r="N773" s="4" t="s">
        <v>73</v>
      </c>
      <c r="O773" s="6">
        <v>45417</v>
      </c>
      <c r="P773" s="11">
        <v>45546</v>
      </c>
      <c r="Q773" s="9">
        <f ca="1">IF(P773="",TODAY()-O773,P773-O773)</f>
        <v>129</v>
      </c>
      <c r="R773" s="4" t="s">
        <v>41</v>
      </c>
      <c r="S773" s="5" t="s">
        <v>26</v>
      </c>
      <c r="T773" s="4" t="s">
        <v>2557</v>
      </c>
      <c r="U773" s="5" t="s">
        <v>30</v>
      </c>
      <c r="W773" s="5" t="s">
        <v>39</v>
      </c>
      <c r="X773" s="38" t="s">
        <v>2733</v>
      </c>
      <c r="Y773" s="44">
        <v>45497</v>
      </c>
      <c r="Z773" s="7" t="s">
        <v>2734</v>
      </c>
    </row>
    <row r="774" spans="1:26" x14ac:dyDescent="0.25">
      <c r="A774" s="7" t="s">
        <v>2550</v>
      </c>
      <c r="B774" s="7" t="s">
        <v>1071</v>
      </c>
      <c r="C774" s="5" t="s">
        <v>12</v>
      </c>
      <c r="D774" s="4" t="s">
        <v>15</v>
      </c>
      <c r="E774" s="5" t="s">
        <v>2227</v>
      </c>
      <c r="F774" s="4" t="s">
        <v>2552</v>
      </c>
      <c r="G774" s="9" t="s">
        <v>51</v>
      </c>
      <c r="H774" s="32">
        <v>45474</v>
      </c>
      <c r="I774" s="33">
        <v>45497</v>
      </c>
      <c r="J774" s="4" t="s">
        <v>503</v>
      </c>
      <c r="N774" s="4" t="s">
        <v>73</v>
      </c>
      <c r="O774" s="6">
        <v>45417</v>
      </c>
      <c r="Q774" s="9">
        <f ca="1">IF(P774="",TODAY()-O774,P774-O774)</f>
        <v>152</v>
      </c>
      <c r="S774" s="5" t="s">
        <v>26</v>
      </c>
      <c r="T774" s="4" t="s">
        <v>2557</v>
      </c>
      <c r="U774" s="5" t="s">
        <v>30</v>
      </c>
      <c r="W774" s="5" t="s">
        <v>39</v>
      </c>
      <c r="Z774" s="7" t="s">
        <v>2734</v>
      </c>
    </row>
    <row r="775" spans="1:26" x14ac:dyDescent="0.25">
      <c r="A775" s="7" t="s">
        <v>2551</v>
      </c>
      <c r="B775" s="7" t="s">
        <v>1071</v>
      </c>
      <c r="C775" s="5" t="s">
        <v>12</v>
      </c>
      <c r="D775" s="4" t="s">
        <v>19</v>
      </c>
      <c r="E775" s="5" t="s">
        <v>2228</v>
      </c>
      <c r="F775" s="4" t="s">
        <v>2552</v>
      </c>
      <c r="G775" s="9" t="s">
        <v>51</v>
      </c>
      <c r="H775" s="32">
        <v>45474</v>
      </c>
      <c r="I775" s="33">
        <v>45497</v>
      </c>
      <c r="J775" s="4" t="s">
        <v>503</v>
      </c>
      <c r="N775" s="4" t="s">
        <v>73</v>
      </c>
      <c r="O775" s="6">
        <v>45417</v>
      </c>
      <c r="Q775" s="9">
        <f ca="1">IF(P775="",TODAY()-O775,P775-O775)</f>
        <v>152</v>
      </c>
      <c r="S775" s="5" t="s">
        <v>26</v>
      </c>
      <c r="T775" s="4" t="s">
        <v>2557</v>
      </c>
      <c r="U775" s="5" t="s">
        <v>30</v>
      </c>
      <c r="W775" s="5" t="s">
        <v>39</v>
      </c>
      <c r="Z775" s="7" t="s">
        <v>2734</v>
      </c>
    </row>
    <row r="776" spans="1:26" x14ac:dyDescent="0.25">
      <c r="A776" s="7" t="s">
        <v>2353</v>
      </c>
      <c r="C776" s="5" t="s">
        <v>12</v>
      </c>
      <c r="E776" s="5" t="s">
        <v>24</v>
      </c>
      <c r="F776" s="4" t="s">
        <v>384</v>
      </c>
      <c r="K776" s="6">
        <v>45422</v>
      </c>
      <c r="O776" s="6">
        <v>45422</v>
      </c>
      <c r="P776" s="11">
        <v>45422</v>
      </c>
      <c r="Q776" s="9">
        <f ca="1">IF(P776="",TODAY()-O776,P776-O776)</f>
        <v>0</v>
      </c>
      <c r="R776" s="4" t="s">
        <v>2039</v>
      </c>
      <c r="S776" s="5" t="s">
        <v>631</v>
      </c>
      <c r="U776" s="5" t="s">
        <v>29</v>
      </c>
      <c r="V776" s="4">
        <v>1075</v>
      </c>
      <c r="W776" s="5" t="s">
        <v>425</v>
      </c>
      <c r="Y776" s="44"/>
    </row>
    <row r="777" spans="1:26" x14ac:dyDescent="0.25">
      <c r="A777" s="7" t="s">
        <v>2466</v>
      </c>
      <c r="B777" s="7" t="s">
        <v>1071</v>
      </c>
      <c r="C777" s="5" t="s">
        <v>12</v>
      </c>
      <c r="D777" s="4" t="s">
        <v>16</v>
      </c>
      <c r="E777" s="5" t="s">
        <v>2228</v>
      </c>
      <c r="F777" s="4" t="s">
        <v>384</v>
      </c>
      <c r="L777" s="7" t="s">
        <v>2016</v>
      </c>
      <c r="M777" s="7" t="s">
        <v>2017</v>
      </c>
      <c r="O777" s="6">
        <v>45422</v>
      </c>
      <c r="P777" s="11">
        <v>45422</v>
      </c>
      <c r="Q777" s="9">
        <f ca="1">IF(P777="",TODAY()-O777,P777-O777)</f>
        <v>0</v>
      </c>
      <c r="R777" s="4" t="s">
        <v>42</v>
      </c>
      <c r="S777" s="5" t="s">
        <v>631</v>
      </c>
      <c r="U777" s="5" t="s">
        <v>30</v>
      </c>
      <c r="W777" s="5" t="s">
        <v>112</v>
      </c>
    </row>
    <row r="778" spans="1:26" x14ac:dyDescent="0.25">
      <c r="A778" s="7" t="s">
        <v>2295</v>
      </c>
      <c r="B778" s="7" t="s">
        <v>1071</v>
      </c>
      <c r="C778" s="5" t="s">
        <v>12</v>
      </c>
      <c r="D778" s="4" t="s">
        <v>311</v>
      </c>
      <c r="E778" s="5" t="s">
        <v>2227</v>
      </c>
      <c r="F778" s="4" t="s">
        <v>902</v>
      </c>
      <c r="G778" s="9" t="s">
        <v>51</v>
      </c>
      <c r="H778" s="32">
        <v>45450</v>
      </c>
      <c r="I778" s="33">
        <v>45477</v>
      </c>
      <c r="J778" s="4" t="s">
        <v>503</v>
      </c>
      <c r="N778" s="4" t="s">
        <v>73</v>
      </c>
      <c r="O778" s="6">
        <v>45425</v>
      </c>
      <c r="P778" s="11">
        <v>45510</v>
      </c>
      <c r="Q778" s="9">
        <f ca="1">IF(P778="",TODAY()-O778,P778-O778)</f>
        <v>85</v>
      </c>
      <c r="R778" s="4" t="s">
        <v>41</v>
      </c>
      <c r="S778" s="5" t="s">
        <v>26</v>
      </c>
      <c r="T778" s="4" t="s">
        <v>809</v>
      </c>
      <c r="U778" s="5" t="s">
        <v>30</v>
      </c>
      <c r="W778" s="5" t="s">
        <v>39</v>
      </c>
      <c r="X778" s="38" t="s">
        <v>2631</v>
      </c>
      <c r="Y778" s="44">
        <v>45477</v>
      </c>
      <c r="Z778" s="7" t="s">
        <v>2632</v>
      </c>
    </row>
    <row r="779" spans="1:26" x14ac:dyDescent="0.25">
      <c r="A779" s="7" t="s">
        <v>2453</v>
      </c>
      <c r="B779" s="7" t="s">
        <v>1071</v>
      </c>
      <c r="C779" s="5" t="s">
        <v>12</v>
      </c>
      <c r="D779" s="4" t="s">
        <v>20</v>
      </c>
      <c r="E779" s="5" t="s">
        <v>24</v>
      </c>
      <c r="F779" s="4" t="s">
        <v>384</v>
      </c>
      <c r="K779" s="6">
        <v>45425</v>
      </c>
      <c r="O779" s="6">
        <v>45425</v>
      </c>
      <c r="P779" s="11">
        <v>45426</v>
      </c>
      <c r="Q779" s="9">
        <f ca="1">IF(P779="",TODAY()-O779,P779-O779)</f>
        <v>1</v>
      </c>
      <c r="R779" s="4" t="s">
        <v>2039</v>
      </c>
      <c r="S779" s="5" t="s">
        <v>631</v>
      </c>
      <c r="U779" s="5" t="s">
        <v>30</v>
      </c>
      <c r="W779" s="5" t="s">
        <v>112</v>
      </c>
      <c r="Z779" s="7" t="s">
        <v>2482</v>
      </c>
    </row>
    <row r="780" spans="1:26" x14ac:dyDescent="0.25">
      <c r="A780" s="7" t="s">
        <v>2466</v>
      </c>
      <c r="B780" s="7" t="s">
        <v>1071</v>
      </c>
      <c r="C780" s="5" t="s">
        <v>620</v>
      </c>
      <c r="D780" s="4" t="s">
        <v>16</v>
      </c>
      <c r="E780" s="5" t="s">
        <v>25</v>
      </c>
      <c r="F780" s="4" t="s">
        <v>384</v>
      </c>
      <c r="K780" s="6">
        <v>45426</v>
      </c>
      <c r="N780" s="4" t="s">
        <v>73</v>
      </c>
      <c r="O780" s="6">
        <v>45426</v>
      </c>
      <c r="P780" s="11">
        <v>45430</v>
      </c>
      <c r="Q780" s="9">
        <f ca="1">IF(P780="",TODAY()-O780,P780-O780)</f>
        <v>4</v>
      </c>
      <c r="R780" s="4" t="s">
        <v>2039</v>
      </c>
      <c r="S780" s="5" t="s">
        <v>631</v>
      </c>
      <c r="T780" s="4" t="s">
        <v>112</v>
      </c>
      <c r="U780" s="5" t="s">
        <v>30</v>
      </c>
      <c r="W780" s="5" t="s">
        <v>112</v>
      </c>
    </row>
    <row r="781" spans="1:26" x14ac:dyDescent="0.25">
      <c r="A781" s="7" t="s">
        <v>2453</v>
      </c>
      <c r="B781" s="7" t="s">
        <v>1071</v>
      </c>
      <c r="C781" s="5" t="s">
        <v>12</v>
      </c>
      <c r="D781" s="4" t="s">
        <v>20</v>
      </c>
      <c r="E781" s="5" t="s">
        <v>25</v>
      </c>
      <c r="F781" s="4" t="s">
        <v>2457</v>
      </c>
      <c r="K781" s="6">
        <v>45426</v>
      </c>
      <c r="O781" s="6">
        <v>45426</v>
      </c>
      <c r="P781" s="11">
        <v>45426</v>
      </c>
      <c r="Q781" s="9">
        <f ca="1">IF(P781="",TODAY()-O781,P781-O781)</f>
        <v>0</v>
      </c>
      <c r="R781" s="4" t="s">
        <v>2039</v>
      </c>
      <c r="S781" s="5" t="s">
        <v>631</v>
      </c>
      <c r="U781" s="5" t="s">
        <v>30</v>
      </c>
      <c r="W781" s="5" t="s">
        <v>112</v>
      </c>
    </row>
    <row r="782" spans="1:26" x14ac:dyDescent="0.25">
      <c r="A782" s="7" t="s">
        <v>2466</v>
      </c>
      <c r="B782" s="7" t="s">
        <v>1071</v>
      </c>
      <c r="C782" s="5" t="s">
        <v>620</v>
      </c>
      <c r="D782" s="4" t="s">
        <v>16</v>
      </c>
      <c r="E782" s="5" t="s">
        <v>25</v>
      </c>
      <c r="F782" s="4" t="s">
        <v>384</v>
      </c>
      <c r="K782" s="6">
        <v>45426</v>
      </c>
      <c r="O782" s="6">
        <v>45426</v>
      </c>
      <c r="P782" s="11">
        <v>45430</v>
      </c>
      <c r="Q782" s="9">
        <f ca="1">IF(P782="",TODAY()-O782,P782-O782)</f>
        <v>4</v>
      </c>
      <c r="R782" s="4" t="s">
        <v>2039</v>
      </c>
      <c r="S782" s="5" t="s">
        <v>631</v>
      </c>
      <c r="T782" s="4" t="s">
        <v>112</v>
      </c>
      <c r="U782" s="5" t="s">
        <v>30</v>
      </c>
      <c r="W782" s="5" t="s">
        <v>112</v>
      </c>
    </row>
    <row r="783" spans="1:26" x14ac:dyDescent="0.25">
      <c r="A783" s="7" t="s">
        <v>2444</v>
      </c>
      <c r="B783" s="7" t="s">
        <v>1071</v>
      </c>
      <c r="C783" s="5" t="s">
        <v>12</v>
      </c>
      <c r="D783" s="4" t="s">
        <v>18</v>
      </c>
      <c r="E783" s="5" t="s">
        <v>24</v>
      </c>
      <c r="F783" s="4" t="s">
        <v>2298</v>
      </c>
      <c r="G783" s="9" t="s">
        <v>51</v>
      </c>
      <c r="H783" s="32">
        <v>45428</v>
      </c>
      <c r="I783" s="33">
        <v>45456</v>
      </c>
      <c r="J783" s="4" t="s">
        <v>102</v>
      </c>
      <c r="K783" s="6">
        <v>45429</v>
      </c>
      <c r="N783" s="4" t="s">
        <v>73</v>
      </c>
      <c r="O783" s="6">
        <v>45428</v>
      </c>
      <c r="Q783" s="9">
        <f ca="1">IF(P783="",TODAY()-O783,P783-O783)</f>
        <v>141</v>
      </c>
      <c r="S783" s="5" t="s">
        <v>26</v>
      </c>
      <c r="T783" s="4" t="s">
        <v>38</v>
      </c>
      <c r="U783" s="5" t="s">
        <v>29</v>
      </c>
      <c r="V783" s="4">
        <v>1078</v>
      </c>
      <c r="W783" s="5" t="s">
        <v>39</v>
      </c>
      <c r="X783" s="38" t="s">
        <v>2299</v>
      </c>
      <c r="Y783" s="44">
        <v>45428</v>
      </c>
      <c r="Z783" s="7" t="s">
        <v>2300</v>
      </c>
    </row>
    <row r="784" spans="1:26" x14ac:dyDescent="0.25">
      <c r="A784" s="7" t="s">
        <v>2486</v>
      </c>
      <c r="B784" s="7" t="s">
        <v>1071</v>
      </c>
      <c r="C784" s="5" t="s">
        <v>12</v>
      </c>
      <c r="D784" s="4" t="s">
        <v>311</v>
      </c>
      <c r="E784" s="5" t="s">
        <v>2227</v>
      </c>
      <c r="G784" s="9" t="s">
        <v>51</v>
      </c>
      <c r="H784" s="32">
        <v>45436</v>
      </c>
      <c r="I784" s="33">
        <v>45457</v>
      </c>
      <c r="N784" s="4" t="s">
        <v>73</v>
      </c>
      <c r="O784" s="6">
        <v>45430</v>
      </c>
      <c r="Q784" s="9">
        <f ca="1">IF(P784="",TODAY()-O784,P784-O784)</f>
        <v>139</v>
      </c>
      <c r="S784" s="5" t="s">
        <v>121</v>
      </c>
      <c r="T784" s="4" t="s">
        <v>112</v>
      </c>
      <c r="U784" s="5" t="s">
        <v>31</v>
      </c>
      <c r="W784" s="5" t="s">
        <v>112</v>
      </c>
      <c r="Y784" s="44">
        <v>45457</v>
      </c>
      <c r="Z784" s="7" t="s">
        <v>2383</v>
      </c>
    </row>
    <row r="785" spans="1:26" x14ac:dyDescent="0.25">
      <c r="A785" s="7" t="s">
        <v>2272</v>
      </c>
      <c r="B785" s="7" t="s">
        <v>1071</v>
      </c>
      <c r="C785" s="5" t="s">
        <v>12</v>
      </c>
      <c r="D785" s="4" t="s">
        <v>15</v>
      </c>
      <c r="E785" s="5" t="s">
        <v>2227</v>
      </c>
      <c r="F785" s="4" t="s">
        <v>2273</v>
      </c>
      <c r="N785" s="4" t="s">
        <v>73</v>
      </c>
      <c r="O785" s="6">
        <v>45431</v>
      </c>
      <c r="Q785" s="9">
        <f ca="1">IF(P785="",TODAY()-O785,P785-O785)</f>
        <v>138</v>
      </c>
      <c r="S785" s="5" t="s">
        <v>26</v>
      </c>
      <c r="T785" s="4" t="s">
        <v>112</v>
      </c>
      <c r="U785" s="5" t="s">
        <v>31</v>
      </c>
      <c r="W785" s="5" t="s">
        <v>112</v>
      </c>
      <c r="Z785" s="7" t="s">
        <v>2274</v>
      </c>
    </row>
    <row r="786" spans="1:26" x14ac:dyDescent="0.25">
      <c r="A786" s="7" t="s">
        <v>2279</v>
      </c>
      <c r="B786" s="7" t="s">
        <v>1071</v>
      </c>
      <c r="C786" s="5" t="s">
        <v>12</v>
      </c>
      <c r="E786" s="5" t="s">
        <v>24</v>
      </c>
      <c r="F786" s="4" t="s">
        <v>384</v>
      </c>
      <c r="K786" s="6">
        <v>45434</v>
      </c>
      <c r="L786" s="7" t="s">
        <v>2016</v>
      </c>
      <c r="M786" s="7" t="s">
        <v>2016</v>
      </c>
      <c r="O786" s="6">
        <v>45433</v>
      </c>
      <c r="P786" s="11">
        <v>45433</v>
      </c>
      <c r="Q786" s="9">
        <f ca="1">IF(P786="",TODAY()-O786,P786-O786)</f>
        <v>0</v>
      </c>
      <c r="R786" s="4" t="s">
        <v>2039</v>
      </c>
      <c r="S786" s="5" t="s">
        <v>631</v>
      </c>
      <c r="U786" s="5" t="s">
        <v>33</v>
      </c>
      <c r="W786" s="5" t="s">
        <v>38</v>
      </c>
    </row>
    <row r="787" spans="1:26" x14ac:dyDescent="0.25">
      <c r="A787" s="7" t="s">
        <v>2280</v>
      </c>
      <c r="B787" s="7" t="s">
        <v>1071</v>
      </c>
      <c r="C787" s="5" t="s">
        <v>12</v>
      </c>
      <c r="E787" s="5" t="s">
        <v>25</v>
      </c>
      <c r="F787" s="4" t="s">
        <v>384</v>
      </c>
      <c r="K787" s="6">
        <v>45434</v>
      </c>
      <c r="L787" s="7" t="s">
        <v>2016</v>
      </c>
      <c r="M787" s="7" t="s">
        <v>2016</v>
      </c>
      <c r="O787" s="6">
        <v>45433</v>
      </c>
      <c r="P787" s="11">
        <v>45433</v>
      </c>
      <c r="Q787" s="9">
        <f ca="1">IF(P787="",TODAY()-O787,P787-O787)</f>
        <v>0</v>
      </c>
      <c r="R787" s="4" t="s">
        <v>2039</v>
      </c>
      <c r="S787" s="5" t="s">
        <v>631</v>
      </c>
      <c r="U787" s="5" t="s">
        <v>33</v>
      </c>
      <c r="W787" s="5" t="s">
        <v>38</v>
      </c>
    </row>
    <row r="788" spans="1:26" x14ac:dyDescent="0.25">
      <c r="A788" s="7" t="s">
        <v>2281</v>
      </c>
      <c r="B788" s="7" t="s">
        <v>1071</v>
      </c>
      <c r="C788" s="5" t="s">
        <v>12</v>
      </c>
      <c r="E788" s="5" t="s">
        <v>25</v>
      </c>
      <c r="F788" s="4" t="s">
        <v>384</v>
      </c>
      <c r="K788" s="6">
        <v>45434</v>
      </c>
      <c r="L788" s="7" t="s">
        <v>2016</v>
      </c>
      <c r="M788" s="7" t="s">
        <v>2016</v>
      </c>
      <c r="O788" s="6">
        <v>45433</v>
      </c>
      <c r="P788" s="11">
        <v>45433</v>
      </c>
      <c r="Q788" s="9">
        <f ca="1">IF(P788="",TODAY()-O788,P788-O788)</f>
        <v>0</v>
      </c>
      <c r="R788" s="4" t="s">
        <v>2039</v>
      </c>
      <c r="S788" s="5" t="s">
        <v>631</v>
      </c>
      <c r="U788" s="5" t="s">
        <v>33</v>
      </c>
      <c r="W788" s="5" t="s">
        <v>38</v>
      </c>
    </row>
    <row r="789" spans="1:26" x14ac:dyDescent="0.25">
      <c r="A789" s="7" t="s">
        <v>2282</v>
      </c>
      <c r="B789" s="7" t="s">
        <v>1071</v>
      </c>
      <c r="C789" s="5" t="s">
        <v>12</v>
      </c>
      <c r="E789" s="5" t="s">
        <v>25</v>
      </c>
      <c r="F789" s="4" t="s">
        <v>384</v>
      </c>
      <c r="K789" s="6">
        <v>45434</v>
      </c>
      <c r="L789" s="7" t="s">
        <v>2016</v>
      </c>
      <c r="M789" s="7" t="s">
        <v>2016</v>
      </c>
      <c r="O789" s="6">
        <v>45433</v>
      </c>
      <c r="P789" s="11">
        <v>45433</v>
      </c>
      <c r="Q789" s="9">
        <f ca="1">IF(P789="",TODAY()-O789,P789-O789)</f>
        <v>0</v>
      </c>
      <c r="R789" s="4" t="s">
        <v>2039</v>
      </c>
      <c r="S789" s="5" t="s">
        <v>631</v>
      </c>
      <c r="U789" s="5" t="s">
        <v>33</v>
      </c>
      <c r="W789" s="5" t="s">
        <v>38</v>
      </c>
    </row>
    <row r="790" spans="1:26" x14ac:dyDescent="0.25">
      <c r="A790" s="7" t="s">
        <v>2265</v>
      </c>
      <c r="B790" s="7" t="s">
        <v>1071</v>
      </c>
      <c r="C790" s="5" t="s">
        <v>12</v>
      </c>
      <c r="D790" s="4" t="s">
        <v>20</v>
      </c>
      <c r="E790" s="5" t="s">
        <v>25</v>
      </c>
      <c r="F790" s="4" t="s">
        <v>1889</v>
      </c>
      <c r="G790" s="9" t="s">
        <v>50</v>
      </c>
      <c r="H790" s="32">
        <v>45483</v>
      </c>
      <c r="K790" s="6">
        <v>45435</v>
      </c>
      <c r="N790" s="4" t="s">
        <v>73</v>
      </c>
      <c r="O790" s="6">
        <v>45434</v>
      </c>
      <c r="Q790" s="9">
        <f ca="1">IF(P790="",TODAY()-O790,P790-O790)</f>
        <v>135</v>
      </c>
      <c r="S790" s="5" t="s">
        <v>26</v>
      </c>
      <c r="T790" s="4" t="s">
        <v>38</v>
      </c>
      <c r="U790" s="5" t="s">
        <v>30</v>
      </c>
      <c r="W790" s="5" t="s">
        <v>38</v>
      </c>
      <c r="X790" s="38" t="s">
        <v>2263</v>
      </c>
      <c r="Y790" s="44">
        <v>45435</v>
      </c>
      <c r="Z790" s="7" t="s">
        <v>2264</v>
      </c>
    </row>
    <row r="791" spans="1:26" x14ac:dyDescent="0.25">
      <c r="A791" s="7" t="s">
        <v>2420</v>
      </c>
      <c r="B791" s="7" t="s">
        <v>1071</v>
      </c>
      <c r="C791" s="5" t="s">
        <v>12</v>
      </c>
      <c r="D791" s="4" t="s">
        <v>20</v>
      </c>
      <c r="E791" s="5" t="s">
        <v>2228</v>
      </c>
      <c r="F791" s="4" t="s">
        <v>2418</v>
      </c>
      <c r="G791" s="9" t="s">
        <v>51</v>
      </c>
      <c r="H791" s="32">
        <v>45441</v>
      </c>
      <c r="I791" s="33">
        <v>45462</v>
      </c>
      <c r="N791" s="4" t="s">
        <v>73</v>
      </c>
      <c r="O791" s="6">
        <v>45434</v>
      </c>
      <c r="P791" s="11">
        <v>45465</v>
      </c>
      <c r="Q791" s="9">
        <f ca="1">IF(P791="",TODAY()-O791,P791-O791)</f>
        <v>31</v>
      </c>
      <c r="R791" s="4" t="s">
        <v>41</v>
      </c>
      <c r="S791" s="5" t="s">
        <v>26</v>
      </c>
      <c r="T791" s="4" t="s">
        <v>112</v>
      </c>
      <c r="U791" s="5" t="s">
        <v>31</v>
      </c>
      <c r="W791" s="5" t="s">
        <v>2318</v>
      </c>
      <c r="X791" s="38" t="s">
        <v>2421</v>
      </c>
      <c r="Y791" s="44">
        <v>45462</v>
      </c>
      <c r="Z791" s="7" t="s">
        <v>2417</v>
      </c>
    </row>
    <row r="792" spans="1:26" x14ac:dyDescent="0.25">
      <c r="A792" s="7" t="s">
        <v>2419</v>
      </c>
      <c r="B792" s="7" t="s">
        <v>1071</v>
      </c>
      <c r="C792" s="5" t="s">
        <v>12</v>
      </c>
      <c r="D792" s="4" t="s">
        <v>17</v>
      </c>
      <c r="E792" s="5" t="s">
        <v>2227</v>
      </c>
      <c r="F792" s="4" t="s">
        <v>2418</v>
      </c>
      <c r="G792" s="9" t="s">
        <v>51</v>
      </c>
      <c r="H792" s="32">
        <v>45441</v>
      </c>
      <c r="I792" s="33">
        <v>45462</v>
      </c>
      <c r="N792" s="4" t="s">
        <v>73</v>
      </c>
      <c r="O792" s="6">
        <v>45434</v>
      </c>
      <c r="Q792" s="9">
        <f ca="1">IF(P792="",TODAY()-O792,P792-O792)</f>
        <v>135</v>
      </c>
    </row>
    <row r="793" spans="1:26" x14ac:dyDescent="0.25">
      <c r="A793" s="7" t="s">
        <v>2415</v>
      </c>
      <c r="B793" s="7" t="s">
        <v>1071</v>
      </c>
      <c r="C793" s="5" t="s">
        <v>12</v>
      </c>
      <c r="D793" s="4" t="s">
        <v>311</v>
      </c>
      <c r="E793" s="5" t="s">
        <v>2228</v>
      </c>
      <c r="F793" s="4" t="s">
        <v>2418</v>
      </c>
      <c r="G793" s="9" t="s">
        <v>51</v>
      </c>
      <c r="H793" s="32">
        <v>45441</v>
      </c>
      <c r="I793" s="33">
        <v>45462</v>
      </c>
      <c r="N793" s="4" t="s">
        <v>73</v>
      </c>
      <c r="O793" s="6">
        <v>45434</v>
      </c>
      <c r="P793" s="11">
        <v>45465</v>
      </c>
      <c r="Q793" s="9">
        <f ca="1">IF(P793="",TODAY()-O793,P793-O793)</f>
        <v>31</v>
      </c>
      <c r="R793" s="4" t="s">
        <v>41</v>
      </c>
      <c r="S793" s="5" t="s">
        <v>26</v>
      </c>
      <c r="T793" s="4" t="s">
        <v>112</v>
      </c>
      <c r="U793" s="5" t="s">
        <v>31</v>
      </c>
      <c r="W793" s="5" t="s">
        <v>2318</v>
      </c>
      <c r="X793" s="38" t="s">
        <v>2416</v>
      </c>
      <c r="Y793" s="44">
        <v>45462</v>
      </c>
      <c r="Z793" s="7" t="s">
        <v>2417</v>
      </c>
    </row>
    <row r="794" spans="1:26" x14ac:dyDescent="0.25">
      <c r="A794" s="7" t="s">
        <v>2466</v>
      </c>
      <c r="B794" s="7" t="s">
        <v>1071</v>
      </c>
      <c r="C794" s="5" t="s">
        <v>12</v>
      </c>
      <c r="D794" s="4" t="s">
        <v>16</v>
      </c>
      <c r="E794" s="5" t="s">
        <v>25</v>
      </c>
      <c r="F794" s="4" t="s">
        <v>384</v>
      </c>
      <c r="K794" s="6">
        <v>45435</v>
      </c>
      <c r="O794" s="6">
        <v>45435</v>
      </c>
      <c r="P794" s="11">
        <v>45438</v>
      </c>
      <c r="Q794" s="9">
        <f ca="1">IF(P794="",TODAY()-O794,P794-O794)</f>
        <v>3</v>
      </c>
      <c r="R794" s="4" t="s">
        <v>2039</v>
      </c>
      <c r="S794" s="5" t="s">
        <v>631</v>
      </c>
      <c r="T794" s="4" t="s">
        <v>112</v>
      </c>
      <c r="W794" s="5" t="s">
        <v>112</v>
      </c>
    </row>
    <row r="795" spans="1:26" x14ac:dyDescent="0.25">
      <c r="A795" s="7" t="s">
        <v>2283</v>
      </c>
      <c r="B795" s="7" t="s">
        <v>1071</v>
      </c>
      <c r="C795" s="5" t="s">
        <v>12</v>
      </c>
      <c r="D795" s="4" t="s">
        <v>713</v>
      </c>
      <c r="E795" s="5" t="s">
        <v>2227</v>
      </c>
      <c r="F795" s="4" t="s">
        <v>943</v>
      </c>
      <c r="N795" s="4" t="s">
        <v>73</v>
      </c>
      <c r="O795" s="6">
        <v>45437</v>
      </c>
      <c r="Q795" s="9">
        <f ca="1">IF(P795="",TODAY()-O795,P795-O795)</f>
        <v>132</v>
      </c>
      <c r="S795" s="5" t="s">
        <v>26</v>
      </c>
      <c r="T795" s="4" t="s">
        <v>112</v>
      </c>
      <c r="U795" s="5" t="s">
        <v>31</v>
      </c>
      <c r="W795" s="5" t="s">
        <v>112</v>
      </c>
      <c r="Z795" s="7" t="s">
        <v>2284</v>
      </c>
    </row>
    <row r="796" spans="1:26" x14ac:dyDescent="0.25">
      <c r="A796" s="7" t="s">
        <v>2484</v>
      </c>
      <c r="B796" s="7" t="s">
        <v>1071</v>
      </c>
      <c r="C796" s="5" t="s">
        <v>12</v>
      </c>
      <c r="D796" s="4" t="s">
        <v>311</v>
      </c>
      <c r="E796" s="5" t="s">
        <v>2227</v>
      </c>
      <c r="F796" s="4" t="s">
        <v>2485</v>
      </c>
      <c r="N796" s="4" t="s">
        <v>73</v>
      </c>
      <c r="O796" s="6">
        <v>45437</v>
      </c>
      <c r="P796" s="11">
        <v>45453</v>
      </c>
      <c r="Q796" s="9">
        <f ca="1">IF(P796="",TODAY()-O796,P796-O796)</f>
        <v>16</v>
      </c>
      <c r="R796" s="4" t="s">
        <v>43</v>
      </c>
      <c r="S796" s="5" t="s">
        <v>121</v>
      </c>
      <c r="T796" s="4" t="s">
        <v>112</v>
      </c>
      <c r="U796" s="5" t="s">
        <v>31</v>
      </c>
      <c r="W796" s="5" t="s">
        <v>112</v>
      </c>
      <c r="Z796" s="7" t="s">
        <v>2508</v>
      </c>
    </row>
    <row r="797" spans="1:26" x14ac:dyDescent="0.25">
      <c r="A797" s="7" t="s">
        <v>2289</v>
      </c>
      <c r="B797" s="7" t="s">
        <v>1071</v>
      </c>
      <c r="C797" s="5" t="s">
        <v>12</v>
      </c>
      <c r="D797" s="4" t="s">
        <v>17</v>
      </c>
      <c r="E797" s="5" t="s">
        <v>25</v>
      </c>
      <c r="F797" s="4" t="s">
        <v>2285</v>
      </c>
      <c r="G797" s="9" t="s">
        <v>50</v>
      </c>
      <c r="H797" s="32">
        <v>45450</v>
      </c>
      <c r="J797" s="4" t="s">
        <v>503</v>
      </c>
      <c r="K797" s="6">
        <v>45450</v>
      </c>
      <c r="N797" s="4" t="s">
        <v>73</v>
      </c>
      <c r="O797" s="6">
        <v>45438</v>
      </c>
      <c r="Q797" s="9">
        <f ca="1">IF(P797="",TODAY()-O797,P797-O797)</f>
        <v>131</v>
      </c>
      <c r="S797" s="5" t="s">
        <v>27</v>
      </c>
      <c r="T797" s="4" t="s">
        <v>38</v>
      </c>
      <c r="U797" s="5" t="s">
        <v>30</v>
      </c>
      <c r="W797" s="5" t="s">
        <v>39</v>
      </c>
      <c r="Y797" s="44">
        <v>45450</v>
      </c>
      <c r="Z797" s="7" t="s">
        <v>2303</v>
      </c>
    </row>
    <row r="798" spans="1:26" x14ac:dyDescent="0.25">
      <c r="A798" s="7" t="s">
        <v>2336</v>
      </c>
      <c r="B798" s="7" t="s">
        <v>1071</v>
      </c>
      <c r="C798" s="5" t="s">
        <v>12</v>
      </c>
      <c r="D798" s="4" t="s">
        <v>17</v>
      </c>
      <c r="E798" s="5" t="s">
        <v>2228</v>
      </c>
      <c r="F798" s="4" t="s">
        <v>2329</v>
      </c>
      <c r="G798" s="9" t="s">
        <v>51</v>
      </c>
      <c r="H798" s="32">
        <v>45448</v>
      </c>
      <c r="I798" s="33">
        <v>45482</v>
      </c>
      <c r="J798" s="4" t="s">
        <v>503</v>
      </c>
      <c r="N798" s="4" t="s">
        <v>73</v>
      </c>
      <c r="O798" s="6">
        <v>45438</v>
      </c>
      <c r="P798" s="11">
        <v>45500</v>
      </c>
      <c r="Q798" s="9">
        <f ca="1">IF(P798="",TODAY()-O798,P798-O798)</f>
        <v>62</v>
      </c>
      <c r="R798" s="4" t="s">
        <v>41</v>
      </c>
      <c r="S798" s="5" t="s">
        <v>27</v>
      </c>
      <c r="T798" s="4" t="s">
        <v>38</v>
      </c>
      <c r="U798" s="5" t="s">
        <v>30</v>
      </c>
      <c r="V798" s="4">
        <v>1090</v>
      </c>
      <c r="W798" s="5" t="s">
        <v>39</v>
      </c>
      <c r="X798" s="38" t="s">
        <v>2585</v>
      </c>
      <c r="Y798" s="44">
        <v>45448</v>
      </c>
      <c r="Z798" s="7" t="s">
        <v>2586</v>
      </c>
    </row>
    <row r="799" spans="1:26" x14ac:dyDescent="0.25">
      <c r="A799" s="7" t="s">
        <v>2337</v>
      </c>
      <c r="B799" s="7" t="s">
        <v>1071</v>
      </c>
      <c r="C799" s="5" t="s">
        <v>12</v>
      </c>
      <c r="D799" s="4" t="s">
        <v>17</v>
      </c>
      <c r="E799" s="5" t="s">
        <v>2228</v>
      </c>
      <c r="F799" s="4" t="s">
        <v>2329</v>
      </c>
      <c r="G799" s="9" t="s">
        <v>51</v>
      </c>
      <c r="H799" s="32">
        <v>45448</v>
      </c>
      <c r="I799" s="33">
        <v>45469</v>
      </c>
      <c r="J799" s="4" t="s">
        <v>503</v>
      </c>
      <c r="N799" s="4" t="s">
        <v>73</v>
      </c>
      <c r="O799" s="6">
        <v>45438</v>
      </c>
      <c r="P799" s="11">
        <v>45478</v>
      </c>
      <c r="Q799" s="9">
        <f ca="1">IF(P799="",TODAY()-O799,P799-O799)</f>
        <v>40</v>
      </c>
      <c r="R799" s="4" t="s">
        <v>41</v>
      </c>
      <c r="S799" s="5" t="s">
        <v>27</v>
      </c>
      <c r="T799" s="4" t="s">
        <v>38</v>
      </c>
      <c r="U799" s="5" t="s">
        <v>30</v>
      </c>
      <c r="W799" s="5" t="s">
        <v>39</v>
      </c>
      <c r="X799" s="38" t="s">
        <v>2389</v>
      </c>
      <c r="Y799" s="44">
        <v>45448</v>
      </c>
      <c r="Z799" s="7" t="s">
        <v>2307</v>
      </c>
    </row>
    <row r="800" spans="1:26" x14ac:dyDescent="0.25">
      <c r="A800" s="7" t="s">
        <v>2338</v>
      </c>
      <c r="B800" s="7" t="s">
        <v>1071</v>
      </c>
      <c r="C800" s="5" t="s">
        <v>12</v>
      </c>
      <c r="D800" s="4" t="s">
        <v>15</v>
      </c>
      <c r="E800" s="5" t="s">
        <v>2227</v>
      </c>
      <c r="F800" s="4" t="s">
        <v>2329</v>
      </c>
      <c r="G800" s="9" t="s">
        <v>51</v>
      </c>
      <c r="H800" s="32">
        <v>45448</v>
      </c>
      <c r="I800" s="33">
        <v>45469</v>
      </c>
      <c r="J800" s="4" t="s">
        <v>503</v>
      </c>
      <c r="N800" s="4" t="s">
        <v>73</v>
      </c>
      <c r="O800" s="6">
        <v>45438</v>
      </c>
      <c r="P800" s="11">
        <v>45485</v>
      </c>
      <c r="Q800" s="9">
        <f ca="1">IF(P800="",TODAY()-O800,P800-O800)</f>
        <v>47</v>
      </c>
      <c r="R800" s="4" t="s">
        <v>41</v>
      </c>
      <c r="S800" s="5" t="s">
        <v>27</v>
      </c>
      <c r="T800" s="4" t="s">
        <v>38</v>
      </c>
      <c r="U800" s="5" t="s">
        <v>30</v>
      </c>
      <c r="W800" s="5" t="s">
        <v>39</v>
      </c>
      <c r="X800" s="38" t="s">
        <v>2390</v>
      </c>
      <c r="Y800" s="44">
        <v>45448</v>
      </c>
      <c r="Z800" s="7" t="s">
        <v>2404</v>
      </c>
    </row>
    <row r="801" spans="1:26" x14ac:dyDescent="0.25">
      <c r="A801" s="7" t="s">
        <v>2453</v>
      </c>
      <c r="B801" s="7" t="s">
        <v>1071</v>
      </c>
      <c r="C801" s="5" t="s">
        <v>12</v>
      </c>
      <c r="D801" s="4" t="s">
        <v>20</v>
      </c>
      <c r="E801" s="5" t="s">
        <v>25</v>
      </c>
      <c r="F801" s="4" t="s">
        <v>384</v>
      </c>
      <c r="K801" s="6">
        <v>45441</v>
      </c>
      <c r="O801" s="6">
        <v>45441</v>
      </c>
      <c r="P801" s="11">
        <v>45441</v>
      </c>
      <c r="Q801" s="9">
        <f ca="1">IF(P801="",TODAY()-O801,P801-O801)</f>
        <v>0</v>
      </c>
      <c r="R801" s="4" t="s">
        <v>2039</v>
      </c>
      <c r="S801" s="5" t="s">
        <v>631</v>
      </c>
      <c r="U801" s="5" t="s">
        <v>30</v>
      </c>
      <c r="W801" s="5" t="s">
        <v>112</v>
      </c>
    </row>
    <row r="802" spans="1:26" x14ac:dyDescent="0.25">
      <c r="A802" s="7" t="s">
        <v>2339</v>
      </c>
      <c r="B802" s="7" t="s">
        <v>1071</v>
      </c>
      <c r="C802" s="5" t="s">
        <v>12</v>
      </c>
      <c r="D802" s="4" t="s">
        <v>16</v>
      </c>
      <c r="E802" s="5" t="s">
        <v>25</v>
      </c>
      <c r="F802" s="4" t="s">
        <v>384</v>
      </c>
      <c r="O802" s="6">
        <v>45442</v>
      </c>
      <c r="P802" s="11">
        <v>45442</v>
      </c>
      <c r="Q802" s="9">
        <f ca="1">IF(P802="",TODAY()-O802,P802-O802)</f>
        <v>0</v>
      </c>
      <c r="R802" s="4" t="s">
        <v>2039</v>
      </c>
      <c r="S802" s="5" t="s">
        <v>631</v>
      </c>
      <c r="T802" s="4" t="s">
        <v>38</v>
      </c>
      <c r="U802" s="5" t="s">
        <v>31</v>
      </c>
      <c r="W802" s="5" t="s">
        <v>38</v>
      </c>
    </row>
    <row r="803" spans="1:26" x14ac:dyDescent="0.25">
      <c r="A803" s="7" t="s">
        <v>2435</v>
      </c>
      <c r="B803" s="7" t="s">
        <v>1071</v>
      </c>
      <c r="C803" s="5" t="s">
        <v>620</v>
      </c>
      <c r="D803" s="4" t="s">
        <v>15</v>
      </c>
      <c r="E803" s="5" t="s">
        <v>2227</v>
      </c>
      <c r="F803" s="4" t="s">
        <v>902</v>
      </c>
      <c r="G803" s="9" t="s">
        <v>51</v>
      </c>
      <c r="H803" s="32">
        <v>45471</v>
      </c>
      <c r="I803" s="33">
        <v>45496</v>
      </c>
      <c r="J803" s="4" t="s">
        <v>503</v>
      </c>
      <c r="N803" s="4" t="s">
        <v>73</v>
      </c>
      <c r="O803" s="6">
        <v>45442</v>
      </c>
      <c r="P803" s="11">
        <v>45517</v>
      </c>
      <c r="Q803" s="9">
        <f ca="1">IF(P803="",TODAY()-O803,P803-O803)</f>
        <v>75</v>
      </c>
      <c r="R803" s="4" t="s">
        <v>41</v>
      </c>
      <c r="S803" s="5" t="s">
        <v>26</v>
      </c>
      <c r="T803" s="4" t="s">
        <v>38</v>
      </c>
      <c r="U803" s="5" t="s">
        <v>30</v>
      </c>
      <c r="W803" s="5" t="s">
        <v>38</v>
      </c>
      <c r="X803" s="38" t="s">
        <v>2438</v>
      </c>
      <c r="Y803" s="44">
        <v>45471</v>
      </c>
      <c r="Z803" s="7" t="s">
        <v>2665</v>
      </c>
    </row>
    <row r="804" spans="1:26" x14ac:dyDescent="0.25">
      <c r="A804" s="7" t="s">
        <v>2355</v>
      </c>
      <c r="B804" s="7" t="s">
        <v>1071</v>
      </c>
      <c r="C804" s="5" t="s">
        <v>12</v>
      </c>
      <c r="D804" s="4" t="s">
        <v>20</v>
      </c>
      <c r="E804" s="5" t="s">
        <v>24</v>
      </c>
      <c r="F804" s="4" t="s">
        <v>2356</v>
      </c>
      <c r="G804" s="9" t="s">
        <v>51</v>
      </c>
      <c r="H804" s="32">
        <v>45443</v>
      </c>
      <c r="I804" s="33">
        <v>45464</v>
      </c>
      <c r="J804" s="4" t="s">
        <v>102</v>
      </c>
      <c r="L804" s="7" t="s">
        <v>2016</v>
      </c>
      <c r="M804" s="7" t="s">
        <v>2016</v>
      </c>
      <c r="N804" s="4" t="s">
        <v>73</v>
      </c>
      <c r="O804" s="6">
        <v>45443</v>
      </c>
      <c r="P804" s="11">
        <v>45482</v>
      </c>
      <c r="Q804" s="9">
        <f ca="1">IF(P804="",TODAY()-O804,P804-O804)</f>
        <v>39</v>
      </c>
      <c r="R804" s="4" t="s">
        <v>41</v>
      </c>
      <c r="S804" s="5" t="s">
        <v>26</v>
      </c>
      <c r="U804" s="5" t="s">
        <v>29</v>
      </c>
      <c r="V804" s="4">
        <v>1080</v>
      </c>
      <c r="W804" s="5" t="s">
        <v>2318</v>
      </c>
      <c r="X804" s="38" t="s">
        <v>2357</v>
      </c>
      <c r="Y804" s="44">
        <v>45443</v>
      </c>
      <c r="Z804" s="7" t="s">
        <v>2520</v>
      </c>
    </row>
    <row r="805" spans="1:26" x14ac:dyDescent="0.25">
      <c r="A805" s="7" t="s">
        <v>2290</v>
      </c>
      <c r="B805" s="7" t="s">
        <v>1071</v>
      </c>
      <c r="C805" s="5" t="s">
        <v>12</v>
      </c>
      <c r="D805" s="4" t="s">
        <v>311</v>
      </c>
      <c r="E805" s="5" t="s">
        <v>2227</v>
      </c>
      <c r="F805" s="4" t="s">
        <v>1809</v>
      </c>
      <c r="G805" s="9" t="s">
        <v>50</v>
      </c>
      <c r="H805" s="32">
        <v>45469</v>
      </c>
      <c r="J805" s="4" t="s">
        <v>101</v>
      </c>
      <c r="N805" s="4" t="s">
        <v>9</v>
      </c>
      <c r="O805" s="6">
        <v>45444</v>
      </c>
      <c r="Q805" s="9">
        <f ca="1">IF(P805="",TODAY()-O805,P805-O805)</f>
        <v>125</v>
      </c>
      <c r="R805" s="4" t="s">
        <v>43</v>
      </c>
      <c r="S805" s="5" t="s">
        <v>26</v>
      </c>
      <c r="T805" s="4" t="s">
        <v>38</v>
      </c>
      <c r="U805" s="5" t="s">
        <v>29</v>
      </c>
      <c r="V805" s="4">
        <v>1081</v>
      </c>
      <c r="W805" s="5" t="s">
        <v>38</v>
      </c>
      <c r="Z805" s="7" t="s">
        <v>2388</v>
      </c>
    </row>
    <row r="806" spans="1:26" x14ac:dyDescent="0.25">
      <c r="A806" s="7" t="s">
        <v>2493</v>
      </c>
      <c r="B806" s="7" t="s">
        <v>1071</v>
      </c>
      <c r="C806" s="5" t="s">
        <v>12</v>
      </c>
      <c r="D806" s="4" t="s">
        <v>311</v>
      </c>
      <c r="E806" s="5" t="s">
        <v>2227</v>
      </c>
      <c r="F806" s="4" t="s">
        <v>2425</v>
      </c>
      <c r="G806" s="9" t="s">
        <v>51</v>
      </c>
      <c r="H806" s="32">
        <v>45449</v>
      </c>
      <c r="I806" s="33">
        <v>45470</v>
      </c>
      <c r="N806" s="4" t="s">
        <v>73</v>
      </c>
      <c r="O806" s="6">
        <v>45444</v>
      </c>
      <c r="P806" s="11">
        <v>45472</v>
      </c>
      <c r="Q806" s="9">
        <f ca="1">IF(P806="",TODAY()-O806,P806-O806)</f>
        <v>28</v>
      </c>
      <c r="R806" s="4" t="s">
        <v>41</v>
      </c>
      <c r="S806" s="5" t="s">
        <v>27</v>
      </c>
      <c r="T806" s="4" t="s">
        <v>112</v>
      </c>
      <c r="U806" s="5" t="s">
        <v>31</v>
      </c>
      <c r="W806" s="5" t="s">
        <v>2318</v>
      </c>
      <c r="X806" s="38" t="s">
        <v>2423</v>
      </c>
      <c r="Y806" s="44">
        <v>45449</v>
      </c>
      <c r="Z806" s="7" t="s">
        <v>2424</v>
      </c>
    </row>
    <row r="807" spans="1:26" x14ac:dyDescent="0.25">
      <c r="A807" s="7" t="s">
        <v>2494</v>
      </c>
      <c r="B807" s="7" t="s">
        <v>1071</v>
      </c>
      <c r="C807" s="5" t="s">
        <v>12</v>
      </c>
      <c r="D807" s="4" t="s">
        <v>311</v>
      </c>
      <c r="E807" s="5" t="s">
        <v>2227</v>
      </c>
      <c r="F807" s="4" t="s">
        <v>2425</v>
      </c>
      <c r="H807" s="32">
        <v>45449</v>
      </c>
      <c r="I807" s="33"/>
      <c r="N807" s="4" t="s">
        <v>73</v>
      </c>
      <c r="O807" s="6">
        <v>45444</v>
      </c>
      <c r="P807" s="11"/>
      <c r="Q807" s="9">
        <f ca="1">IF(P807="",TODAY()-O807,P807-O807)</f>
        <v>125</v>
      </c>
      <c r="S807" s="5" t="s">
        <v>27</v>
      </c>
      <c r="T807" s="4" t="s">
        <v>112</v>
      </c>
      <c r="U807" s="5" t="s">
        <v>31</v>
      </c>
      <c r="Y807" s="44">
        <v>45449</v>
      </c>
      <c r="Z807" s="7" t="s">
        <v>2497</v>
      </c>
    </row>
    <row r="808" spans="1:26" x14ac:dyDescent="0.25">
      <c r="A808" s="7" t="s">
        <v>2495</v>
      </c>
      <c r="B808" s="7" t="s">
        <v>1071</v>
      </c>
      <c r="C808" s="5" t="s">
        <v>12</v>
      </c>
      <c r="D808" s="4" t="s">
        <v>311</v>
      </c>
      <c r="E808" s="5" t="s">
        <v>2227</v>
      </c>
      <c r="F808" s="4" t="s">
        <v>2425</v>
      </c>
      <c r="H808" s="32">
        <v>45449</v>
      </c>
      <c r="I808" s="33"/>
      <c r="N808" s="4" t="s">
        <v>73</v>
      </c>
      <c r="O808" s="6">
        <v>45444</v>
      </c>
      <c r="P808" s="11"/>
      <c r="Q808" s="9">
        <f ca="1">IF(P808="",TODAY()-O808,P808-O808)</f>
        <v>125</v>
      </c>
      <c r="S808" s="5" t="s">
        <v>27</v>
      </c>
      <c r="T808" s="4" t="s">
        <v>112</v>
      </c>
      <c r="U808" s="5" t="s">
        <v>31</v>
      </c>
      <c r="Y808" s="44">
        <v>45449</v>
      </c>
      <c r="Z808" s="7" t="s">
        <v>2498</v>
      </c>
    </row>
    <row r="809" spans="1:26" x14ac:dyDescent="0.25">
      <c r="A809" s="7" t="s">
        <v>2496</v>
      </c>
      <c r="B809" s="7" t="s">
        <v>1071</v>
      </c>
      <c r="C809" s="5" t="s">
        <v>12</v>
      </c>
      <c r="D809" s="4" t="s">
        <v>311</v>
      </c>
      <c r="E809" s="5" t="s">
        <v>2228</v>
      </c>
      <c r="F809" s="4" t="s">
        <v>2425</v>
      </c>
      <c r="H809" s="32">
        <v>45449</v>
      </c>
      <c r="I809" s="33"/>
      <c r="N809" s="4" t="s">
        <v>73</v>
      </c>
      <c r="O809" s="6">
        <v>45444</v>
      </c>
      <c r="P809" s="11"/>
      <c r="Q809" s="9">
        <f ca="1">IF(P809="",TODAY()-O809,P809-O809)</f>
        <v>125</v>
      </c>
      <c r="S809" s="5" t="s">
        <v>27</v>
      </c>
      <c r="T809" s="4" t="s">
        <v>112</v>
      </c>
      <c r="U809" s="5" t="s">
        <v>31</v>
      </c>
      <c r="Y809" s="44">
        <v>45449</v>
      </c>
      <c r="Z809" s="7" t="s">
        <v>2498</v>
      </c>
    </row>
    <row r="810" spans="1:26" x14ac:dyDescent="0.25">
      <c r="A810" s="7" t="s">
        <v>2435</v>
      </c>
      <c r="B810" s="7" t="s">
        <v>1071</v>
      </c>
      <c r="C810" s="5" t="s">
        <v>620</v>
      </c>
      <c r="D810" s="4" t="s">
        <v>15</v>
      </c>
      <c r="E810" s="5" t="s">
        <v>2227</v>
      </c>
      <c r="F810" s="4" t="s">
        <v>902</v>
      </c>
      <c r="G810" s="9" t="s">
        <v>51</v>
      </c>
      <c r="H810" s="32">
        <v>45471</v>
      </c>
      <c r="I810" s="33">
        <v>45496</v>
      </c>
      <c r="J810" s="4" t="s">
        <v>503</v>
      </c>
      <c r="N810" s="4" t="s">
        <v>73</v>
      </c>
      <c r="O810" s="6">
        <v>45447</v>
      </c>
      <c r="P810" s="11">
        <v>45517</v>
      </c>
      <c r="Q810" s="9">
        <f ca="1">IF(P810="",TODAY()-O810,P810-O810)</f>
        <v>70</v>
      </c>
      <c r="R810" s="4" t="s">
        <v>41</v>
      </c>
      <c r="S810" s="5" t="s">
        <v>26</v>
      </c>
      <c r="T810" s="4" t="s">
        <v>38</v>
      </c>
      <c r="U810" s="5" t="s">
        <v>30</v>
      </c>
      <c r="W810" s="5" t="s">
        <v>38</v>
      </c>
      <c r="X810" s="38" t="s">
        <v>2438</v>
      </c>
      <c r="Y810" s="44">
        <v>45471</v>
      </c>
      <c r="Z810" s="7" t="s">
        <v>2646</v>
      </c>
    </row>
    <row r="811" spans="1:26" x14ac:dyDescent="0.25">
      <c r="A811" s="7" t="s">
        <v>2436</v>
      </c>
      <c r="B811" s="7" t="s">
        <v>1071</v>
      </c>
      <c r="C811" s="5" t="s">
        <v>12</v>
      </c>
      <c r="D811" s="4" t="s">
        <v>311</v>
      </c>
      <c r="E811" s="5" t="s">
        <v>2228</v>
      </c>
      <c r="F811" s="4" t="s">
        <v>902</v>
      </c>
      <c r="G811" s="9" t="s">
        <v>51</v>
      </c>
      <c r="H811" s="32">
        <v>45471</v>
      </c>
      <c r="I811" s="33">
        <v>45496</v>
      </c>
      <c r="J811" s="4" t="s">
        <v>503</v>
      </c>
      <c r="N811" s="4" t="s">
        <v>73</v>
      </c>
      <c r="O811" s="6">
        <v>45447</v>
      </c>
      <c r="P811" s="11">
        <v>45523</v>
      </c>
      <c r="Q811" s="9">
        <f ca="1">IF(P811="",TODAY()-O811,P811-O811)</f>
        <v>76</v>
      </c>
      <c r="R811" s="4" t="s">
        <v>41</v>
      </c>
      <c r="S811" s="5" t="s">
        <v>26</v>
      </c>
      <c r="T811" s="4" t="s">
        <v>38</v>
      </c>
      <c r="U811" s="5" t="s">
        <v>30</v>
      </c>
      <c r="W811" s="5" t="s">
        <v>38</v>
      </c>
      <c r="X811" s="38" t="s">
        <v>2439</v>
      </c>
      <c r="Y811" s="44">
        <v>45471</v>
      </c>
      <c r="Z811" s="7" t="s">
        <v>2648</v>
      </c>
    </row>
    <row r="812" spans="1:26" x14ac:dyDescent="0.25">
      <c r="A812" s="7" t="s">
        <v>2437</v>
      </c>
      <c r="B812" s="7" t="s">
        <v>1071</v>
      </c>
      <c r="C812" s="5" t="s">
        <v>12</v>
      </c>
      <c r="D812" s="4" t="s">
        <v>17</v>
      </c>
      <c r="E812" s="5" t="s">
        <v>2228</v>
      </c>
      <c r="F812" s="4" t="s">
        <v>902</v>
      </c>
      <c r="G812" s="9" t="s">
        <v>51</v>
      </c>
      <c r="H812" s="32">
        <v>45471</v>
      </c>
      <c r="I812" s="33">
        <v>45496</v>
      </c>
      <c r="J812" s="4" t="s">
        <v>503</v>
      </c>
      <c r="N812" s="4" t="s">
        <v>73</v>
      </c>
      <c r="O812" s="6">
        <v>45447</v>
      </c>
      <c r="P812" s="11">
        <v>45523</v>
      </c>
      <c r="Q812" s="9">
        <f ca="1">IF(P812="",TODAY()-O812,P812-O812)</f>
        <v>76</v>
      </c>
      <c r="R812" s="4" t="s">
        <v>41</v>
      </c>
      <c r="S812" s="5" t="s">
        <v>26</v>
      </c>
      <c r="T812" s="4" t="s">
        <v>38</v>
      </c>
      <c r="U812" s="5" t="s">
        <v>30</v>
      </c>
      <c r="W812" s="5" t="s">
        <v>38</v>
      </c>
      <c r="X812" s="38" t="s">
        <v>2440</v>
      </c>
      <c r="Y812" s="44">
        <v>45471</v>
      </c>
      <c r="Z812" s="7" t="s">
        <v>2647</v>
      </c>
    </row>
    <row r="813" spans="1:26" x14ac:dyDescent="0.25">
      <c r="A813" s="7" t="s">
        <v>2370</v>
      </c>
      <c r="B813" s="7" t="s">
        <v>1071</v>
      </c>
      <c r="C813" s="5" t="s">
        <v>12</v>
      </c>
      <c r="D813" s="4" t="s">
        <v>20</v>
      </c>
      <c r="E813" s="5" t="s">
        <v>25</v>
      </c>
      <c r="F813" s="4" t="s">
        <v>384</v>
      </c>
      <c r="K813" s="6">
        <v>45448</v>
      </c>
      <c r="O813" s="6">
        <v>45448</v>
      </c>
      <c r="P813" s="11">
        <v>45449</v>
      </c>
      <c r="Q813" s="9">
        <f ca="1">IF(P813="",TODAY()-O813,P813-O813)</f>
        <v>1</v>
      </c>
      <c r="S813" s="5" t="s">
        <v>631</v>
      </c>
      <c r="W813" s="5" t="s">
        <v>38</v>
      </c>
    </row>
    <row r="814" spans="1:26" x14ac:dyDescent="0.25">
      <c r="A814" s="7" t="s">
        <v>2499</v>
      </c>
      <c r="B814" s="7" t="s">
        <v>1071</v>
      </c>
      <c r="C814" s="5" t="s">
        <v>12</v>
      </c>
      <c r="D814" s="4" t="s">
        <v>17</v>
      </c>
      <c r="E814" s="5" t="s">
        <v>2228</v>
      </c>
      <c r="F814" s="4" t="s">
        <v>583</v>
      </c>
      <c r="N814" s="4" t="s">
        <v>73</v>
      </c>
      <c r="O814" s="6">
        <v>45448</v>
      </c>
      <c r="Q814" s="9">
        <f ca="1">IF(P814="",TODAY()-O814,P814-O814)</f>
        <v>121</v>
      </c>
      <c r="S814" s="5" t="s">
        <v>26</v>
      </c>
      <c r="T814" s="4" t="s">
        <v>112</v>
      </c>
      <c r="W814" s="5" t="s">
        <v>112</v>
      </c>
    </row>
    <row r="815" spans="1:26" x14ac:dyDescent="0.25">
      <c r="A815" s="7" t="s">
        <v>2500</v>
      </c>
      <c r="B815" s="7" t="s">
        <v>1071</v>
      </c>
      <c r="C815" s="5" t="s">
        <v>12</v>
      </c>
      <c r="D815" s="4" t="s">
        <v>20</v>
      </c>
      <c r="E815" s="5" t="s">
        <v>2228</v>
      </c>
      <c r="F815" s="4" t="s">
        <v>583</v>
      </c>
      <c r="N815" s="4" t="s">
        <v>73</v>
      </c>
      <c r="O815" s="6">
        <v>45448</v>
      </c>
      <c r="Q815" s="9">
        <f ca="1">IF(P815="",TODAY()-O815,P815-O815)</f>
        <v>121</v>
      </c>
      <c r="S815" s="5" t="s">
        <v>26</v>
      </c>
      <c r="T815" s="4" t="s">
        <v>112</v>
      </c>
      <c r="W815" s="5" t="s">
        <v>112</v>
      </c>
    </row>
    <row r="816" spans="1:26" x14ac:dyDescent="0.25">
      <c r="A816" s="7" t="s">
        <v>2501</v>
      </c>
      <c r="B816" s="7" t="s">
        <v>1071</v>
      </c>
      <c r="C816" s="5" t="s">
        <v>12</v>
      </c>
      <c r="D816" s="4" t="s">
        <v>127</v>
      </c>
      <c r="E816" s="5" t="s">
        <v>2227</v>
      </c>
      <c r="F816" s="4" t="s">
        <v>583</v>
      </c>
      <c r="N816" s="4" t="s">
        <v>73</v>
      </c>
      <c r="O816" s="6">
        <v>45448</v>
      </c>
      <c r="Q816" s="9">
        <f ca="1">IF(P816="",TODAY()-O816,P816-O816)</f>
        <v>121</v>
      </c>
      <c r="S816" s="5" t="s">
        <v>26</v>
      </c>
      <c r="T816" s="4" t="s">
        <v>112</v>
      </c>
      <c r="W816" s="5" t="s">
        <v>112</v>
      </c>
    </row>
    <row r="817" spans="1:26" x14ac:dyDescent="0.25">
      <c r="A817" s="7" t="s">
        <v>2291</v>
      </c>
      <c r="B817" s="7" t="s">
        <v>1071</v>
      </c>
      <c r="C817" s="5" t="s">
        <v>12</v>
      </c>
      <c r="D817" s="4" t="s">
        <v>14</v>
      </c>
      <c r="E817" s="5" t="s">
        <v>2228</v>
      </c>
      <c r="F817" s="4" t="s">
        <v>2294</v>
      </c>
      <c r="O817" s="6">
        <v>45449</v>
      </c>
      <c r="Q817" s="9">
        <f ca="1">IF(P817="",TODAY()-O817,P817-O817)</f>
        <v>120</v>
      </c>
      <c r="S817" s="5" t="s">
        <v>26</v>
      </c>
      <c r="T817" s="4" t="s">
        <v>38</v>
      </c>
      <c r="U817" s="5" t="s">
        <v>31</v>
      </c>
      <c r="W817" s="5" t="s">
        <v>38</v>
      </c>
      <c r="Z817" s="7" t="s">
        <v>400</v>
      </c>
    </row>
    <row r="818" spans="1:26" x14ac:dyDescent="0.25">
      <c r="A818" s="7" t="s">
        <v>2292</v>
      </c>
      <c r="B818" s="7" t="s">
        <v>1071</v>
      </c>
      <c r="C818" s="5" t="s">
        <v>12</v>
      </c>
      <c r="D818" s="4" t="s">
        <v>14</v>
      </c>
      <c r="E818" s="5" t="s">
        <v>2228</v>
      </c>
      <c r="F818" s="4" t="s">
        <v>2294</v>
      </c>
      <c r="O818" s="6">
        <v>45449</v>
      </c>
      <c r="Q818" s="9">
        <f ca="1">IF(P818="",TODAY()-O818,P818-O818)</f>
        <v>120</v>
      </c>
      <c r="S818" s="5" t="s">
        <v>26</v>
      </c>
      <c r="T818" s="4" t="s">
        <v>38</v>
      </c>
      <c r="U818" s="5" t="s">
        <v>31</v>
      </c>
      <c r="W818" s="5" t="s">
        <v>38</v>
      </c>
      <c r="Z818" s="7" t="s">
        <v>400</v>
      </c>
    </row>
    <row r="819" spans="1:26" x14ac:dyDescent="0.25">
      <c r="A819" s="7" t="s">
        <v>2293</v>
      </c>
      <c r="B819" s="7" t="s">
        <v>1071</v>
      </c>
      <c r="C819" s="5" t="s">
        <v>12</v>
      </c>
      <c r="D819" s="4" t="s">
        <v>20</v>
      </c>
      <c r="E819" s="5" t="s">
        <v>2227</v>
      </c>
      <c r="F819" s="4" t="s">
        <v>2294</v>
      </c>
      <c r="O819" s="6">
        <v>45449</v>
      </c>
      <c r="Q819" s="9">
        <f ca="1">IF(P819="",TODAY()-O819,P819-O819)</f>
        <v>120</v>
      </c>
      <c r="S819" s="5" t="s">
        <v>26</v>
      </c>
      <c r="T819" s="4" t="s">
        <v>38</v>
      </c>
      <c r="U819" s="5" t="s">
        <v>31</v>
      </c>
      <c r="W819" s="5" t="s">
        <v>38</v>
      </c>
    </row>
    <row r="820" spans="1:26" x14ac:dyDescent="0.25">
      <c r="A820" s="7" t="s">
        <v>2367</v>
      </c>
      <c r="B820" s="7" t="s">
        <v>1071</v>
      </c>
      <c r="C820" s="5" t="s">
        <v>12</v>
      </c>
      <c r="D820" s="4" t="s">
        <v>20</v>
      </c>
      <c r="E820" s="5" t="s">
        <v>2228</v>
      </c>
      <c r="F820" s="4" t="s">
        <v>583</v>
      </c>
      <c r="O820" s="6">
        <v>45449</v>
      </c>
      <c r="Q820" s="9">
        <f ca="1">IF(P820="",TODAY()-O820,P820-O820)</f>
        <v>120</v>
      </c>
      <c r="S820" s="5" t="s">
        <v>631</v>
      </c>
      <c r="T820" s="4" t="s">
        <v>132</v>
      </c>
      <c r="U820" s="5" t="s">
        <v>30</v>
      </c>
      <c r="W820" s="5" t="s">
        <v>38</v>
      </c>
    </row>
    <row r="821" spans="1:26" x14ac:dyDescent="0.25">
      <c r="A821" s="7" t="s">
        <v>2368</v>
      </c>
      <c r="B821" s="7" t="s">
        <v>1071</v>
      </c>
      <c r="C821" s="5" t="s">
        <v>12</v>
      </c>
      <c r="D821" s="4" t="s">
        <v>20</v>
      </c>
      <c r="E821" s="5" t="s">
        <v>2228</v>
      </c>
      <c r="F821" s="4" t="s">
        <v>583</v>
      </c>
      <c r="O821" s="6">
        <v>45449</v>
      </c>
      <c r="Q821" s="9">
        <f ca="1">IF(P821="",TODAY()-O821,P821-O821)</f>
        <v>120</v>
      </c>
      <c r="S821" s="5" t="s">
        <v>631</v>
      </c>
      <c r="T821" s="4" t="s">
        <v>132</v>
      </c>
      <c r="U821" s="5" t="s">
        <v>30</v>
      </c>
      <c r="W821" s="5" t="s">
        <v>38</v>
      </c>
    </row>
    <row r="822" spans="1:26" x14ac:dyDescent="0.25">
      <c r="A822" s="7" t="s">
        <v>2369</v>
      </c>
      <c r="B822" s="7" t="s">
        <v>1071</v>
      </c>
      <c r="C822" s="5" t="s">
        <v>12</v>
      </c>
      <c r="D822" s="4" t="s">
        <v>20</v>
      </c>
      <c r="E822" s="5" t="s">
        <v>2227</v>
      </c>
      <c r="F822" s="4" t="s">
        <v>583</v>
      </c>
      <c r="O822" s="6">
        <v>45449</v>
      </c>
      <c r="Q822" s="9">
        <f ca="1">IF(P822="",TODAY()-O822,P822-O822)</f>
        <v>120</v>
      </c>
      <c r="S822" s="5" t="s">
        <v>631</v>
      </c>
      <c r="T822" s="4" t="s">
        <v>132</v>
      </c>
      <c r="U822" s="5" t="s">
        <v>30</v>
      </c>
      <c r="W822" s="5" t="s">
        <v>38</v>
      </c>
    </row>
    <row r="823" spans="1:26" x14ac:dyDescent="0.25">
      <c r="A823" s="7" t="s">
        <v>2511</v>
      </c>
      <c r="B823" s="7" t="s">
        <v>1071</v>
      </c>
      <c r="C823" s="5" t="s">
        <v>12</v>
      </c>
      <c r="D823" s="4" t="s">
        <v>17</v>
      </c>
      <c r="E823" s="5" t="s">
        <v>24</v>
      </c>
      <c r="F823" s="4" t="s">
        <v>2216</v>
      </c>
      <c r="K823" s="6">
        <v>45449</v>
      </c>
      <c r="L823" s="7" t="s">
        <v>2016</v>
      </c>
      <c r="M823" s="7" t="s">
        <v>2016</v>
      </c>
      <c r="N823" s="4" t="s">
        <v>73</v>
      </c>
      <c r="O823" s="6">
        <v>45449</v>
      </c>
      <c r="Q823" s="9">
        <f ca="1">IF(P823="",TODAY()-O823,P823-O823)</f>
        <v>120</v>
      </c>
      <c r="S823" s="5" t="s">
        <v>631</v>
      </c>
      <c r="T823" s="4" t="s">
        <v>112</v>
      </c>
      <c r="U823" s="5" t="s">
        <v>30</v>
      </c>
      <c r="W823" s="5" t="s">
        <v>112</v>
      </c>
    </row>
    <row r="824" spans="1:26" x14ac:dyDescent="0.25">
      <c r="A824" s="7" t="s">
        <v>2537</v>
      </c>
      <c r="B824" s="7" t="s">
        <v>1071</v>
      </c>
      <c r="C824" s="5" t="s">
        <v>12</v>
      </c>
      <c r="F824" s="4" t="s">
        <v>2541</v>
      </c>
      <c r="N824" s="4" t="s">
        <v>73</v>
      </c>
      <c r="O824" s="6">
        <v>45449</v>
      </c>
      <c r="Q824" s="9">
        <f ca="1">IF(P824="",TODAY()-O824,P824-O824)</f>
        <v>120</v>
      </c>
      <c r="S824" s="5" t="s">
        <v>26</v>
      </c>
      <c r="T824" s="4" t="s">
        <v>38</v>
      </c>
      <c r="W824" s="5" t="s">
        <v>38</v>
      </c>
    </row>
    <row r="825" spans="1:26" x14ac:dyDescent="0.25">
      <c r="A825" s="7" t="s">
        <v>2539</v>
      </c>
      <c r="B825" s="7" t="s">
        <v>1071</v>
      </c>
      <c r="C825" s="5" t="s">
        <v>12</v>
      </c>
      <c r="F825" s="4" t="s">
        <v>2541</v>
      </c>
      <c r="N825" s="4" t="s">
        <v>73</v>
      </c>
      <c r="O825" s="6">
        <v>45449</v>
      </c>
      <c r="Q825" s="9">
        <f ca="1">IF(P825="",TODAY()-O825,P825-O825)</f>
        <v>120</v>
      </c>
      <c r="S825" s="5" t="s">
        <v>26</v>
      </c>
      <c r="T825" s="4" t="s">
        <v>38</v>
      </c>
      <c r="W825" s="5" t="s">
        <v>38</v>
      </c>
    </row>
    <row r="826" spans="1:26" x14ac:dyDescent="0.25">
      <c r="A826" s="7" t="s">
        <v>2540</v>
      </c>
      <c r="B826" s="7" t="s">
        <v>1071</v>
      </c>
      <c r="C826" s="5" t="s">
        <v>12</v>
      </c>
      <c r="D826" s="4" t="s">
        <v>14</v>
      </c>
      <c r="E826" s="5" t="s">
        <v>2228</v>
      </c>
      <c r="F826" s="4" t="s">
        <v>2541</v>
      </c>
      <c r="G826" s="9" t="s">
        <v>51</v>
      </c>
      <c r="H826" s="32">
        <v>45511</v>
      </c>
      <c r="I826" s="33">
        <v>45534</v>
      </c>
      <c r="J826" s="4" t="s">
        <v>503</v>
      </c>
      <c r="N826" s="4" t="s">
        <v>73</v>
      </c>
      <c r="O826" s="6">
        <v>45449</v>
      </c>
      <c r="Q826" s="9">
        <f ca="1">IF(P826="",TODAY()-O826,P826-O826)</f>
        <v>120</v>
      </c>
      <c r="S826" s="5" t="s">
        <v>26</v>
      </c>
      <c r="T826" s="4" t="s">
        <v>38</v>
      </c>
      <c r="U826" s="5" t="s">
        <v>30</v>
      </c>
      <c r="V826" s="4">
        <v>1132</v>
      </c>
      <c r="W826" s="5" t="s">
        <v>38</v>
      </c>
      <c r="X826" s="38" t="s">
        <v>2804</v>
      </c>
      <c r="Y826" s="44">
        <v>45511</v>
      </c>
      <c r="Z826" s="7" t="s">
        <v>2805</v>
      </c>
    </row>
    <row r="827" spans="1:26" x14ac:dyDescent="0.25">
      <c r="A827" s="7" t="s">
        <v>2442</v>
      </c>
      <c r="B827" s="7" t="s">
        <v>1071</v>
      </c>
      <c r="C827" s="5" t="s">
        <v>12</v>
      </c>
      <c r="D827" s="4" t="s">
        <v>174</v>
      </c>
      <c r="E827" s="5" t="s">
        <v>2228</v>
      </c>
      <c r="F827" s="4" t="s">
        <v>902</v>
      </c>
      <c r="G827" s="9" t="s">
        <v>51</v>
      </c>
      <c r="H827" s="32">
        <v>45471</v>
      </c>
      <c r="I827" s="33">
        <v>45503</v>
      </c>
      <c r="J827" s="4" t="s">
        <v>503</v>
      </c>
      <c r="N827" s="4" t="s">
        <v>73</v>
      </c>
      <c r="O827" s="6">
        <v>45451</v>
      </c>
      <c r="P827" s="11">
        <v>45503</v>
      </c>
      <c r="Q827" s="9">
        <f ca="1">IF(P827="",TODAY()-O827,P827-O827)</f>
        <v>52</v>
      </c>
      <c r="R827" s="4" t="s">
        <v>41</v>
      </c>
      <c r="S827" s="5" t="s">
        <v>26</v>
      </c>
      <c r="T827" s="4" t="s">
        <v>38</v>
      </c>
      <c r="U827" s="5" t="s">
        <v>30</v>
      </c>
      <c r="W827" s="5" t="s">
        <v>39</v>
      </c>
      <c r="X827" s="38" t="s">
        <v>2443</v>
      </c>
      <c r="Y827" s="44">
        <v>45471</v>
      </c>
      <c r="Z827" s="7" t="s">
        <v>2618</v>
      </c>
    </row>
    <row r="828" spans="1:26" x14ac:dyDescent="0.25">
      <c r="A828" s="7" t="s">
        <v>2358</v>
      </c>
      <c r="B828" s="7" t="s">
        <v>1071</v>
      </c>
      <c r="C828" s="5" t="s">
        <v>12</v>
      </c>
      <c r="D828" s="4" t="s">
        <v>174</v>
      </c>
      <c r="F828" s="4" t="s">
        <v>2360</v>
      </c>
      <c r="N828" s="4" t="s">
        <v>73</v>
      </c>
      <c r="O828" s="6">
        <v>45453</v>
      </c>
      <c r="Q828" s="9">
        <f ca="1">IF(P828="",TODAY()-O828,P828-O828)</f>
        <v>116</v>
      </c>
      <c r="S828" s="5" t="s">
        <v>26</v>
      </c>
      <c r="T828" s="4" t="s">
        <v>112</v>
      </c>
      <c r="W828" s="5" t="s">
        <v>2318</v>
      </c>
      <c r="Z828" s="7" t="s">
        <v>2361</v>
      </c>
    </row>
    <row r="829" spans="1:26" x14ac:dyDescent="0.25">
      <c r="A829" s="7" t="s">
        <v>2359</v>
      </c>
      <c r="B829" s="7" t="s">
        <v>1071</v>
      </c>
      <c r="C829" s="5" t="s">
        <v>12</v>
      </c>
      <c r="D829" s="4" t="s">
        <v>174</v>
      </c>
      <c r="F829" s="4" t="s">
        <v>2360</v>
      </c>
      <c r="N829" s="4" t="s">
        <v>73</v>
      </c>
      <c r="O829" s="6">
        <v>45453</v>
      </c>
      <c r="Q829" s="9">
        <f ca="1">IF(P829="",TODAY()-O829,P829-O829)</f>
        <v>116</v>
      </c>
      <c r="S829" s="5" t="s">
        <v>26</v>
      </c>
      <c r="T829" s="4" t="s">
        <v>112</v>
      </c>
      <c r="W829" s="5" t="s">
        <v>2318</v>
      </c>
      <c r="Z829" s="7" t="s">
        <v>2361</v>
      </c>
    </row>
    <row r="830" spans="1:26" x14ac:dyDescent="0.25">
      <c r="A830" s="7" t="s">
        <v>2461</v>
      </c>
      <c r="B830" s="7" t="s">
        <v>1071</v>
      </c>
      <c r="C830" s="5" t="s">
        <v>12</v>
      </c>
      <c r="D830" s="4" t="s">
        <v>174</v>
      </c>
      <c r="E830" s="5" t="s">
        <v>2227</v>
      </c>
      <c r="F830" s="4" t="s">
        <v>2360</v>
      </c>
      <c r="N830" s="4" t="s">
        <v>73</v>
      </c>
      <c r="O830" s="6">
        <v>45453</v>
      </c>
      <c r="Q830" s="9">
        <f ca="1">IF(P830="",TODAY()-O830,P830-O830)</f>
        <v>116</v>
      </c>
      <c r="S830" s="5" t="s">
        <v>26</v>
      </c>
      <c r="T830" s="4" t="s">
        <v>112</v>
      </c>
      <c r="W830" s="5" t="s">
        <v>2318</v>
      </c>
    </row>
    <row r="831" spans="1:26" x14ac:dyDescent="0.25">
      <c r="A831" s="7" t="s">
        <v>2462</v>
      </c>
      <c r="B831" s="7" t="s">
        <v>1071</v>
      </c>
      <c r="C831" s="5" t="s">
        <v>12</v>
      </c>
      <c r="D831" s="4" t="s">
        <v>174</v>
      </c>
      <c r="E831" s="5" t="s">
        <v>2227</v>
      </c>
      <c r="F831" s="4" t="s">
        <v>2360</v>
      </c>
      <c r="N831" s="4" t="s">
        <v>73</v>
      </c>
      <c r="O831" s="6">
        <v>45453</v>
      </c>
      <c r="Q831" s="9">
        <f ca="1">IF(P831="",TODAY()-O831,P831-O831)</f>
        <v>116</v>
      </c>
      <c r="S831" s="5" t="s">
        <v>26</v>
      </c>
      <c r="T831" s="4" t="s">
        <v>112</v>
      </c>
      <c r="W831" s="5" t="s">
        <v>2318</v>
      </c>
    </row>
    <row r="832" spans="1:26" x14ac:dyDescent="0.25">
      <c r="A832" s="7" t="s">
        <v>2633</v>
      </c>
      <c r="B832" s="7" t="s">
        <v>1071</v>
      </c>
      <c r="C832" s="5" t="s">
        <v>12</v>
      </c>
      <c r="D832" s="4" t="s">
        <v>16</v>
      </c>
      <c r="E832" s="5" t="s">
        <v>2228</v>
      </c>
      <c r="F832" s="4" t="s">
        <v>2334</v>
      </c>
      <c r="G832" s="9" t="s">
        <v>50</v>
      </c>
      <c r="H832" s="32">
        <v>45471</v>
      </c>
      <c r="J832" s="4" t="s">
        <v>101</v>
      </c>
      <c r="N832" s="4" t="s">
        <v>73</v>
      </c>
      <c r="O832" s="6">
        <v>45455</v>
      </c>
      <c r="Q832" s="9">
        <f ca="1">IF(P832="",TODAY()-O832,P832-O832)</f>
        <v>114</v>
      </c>
      <c r="S832" s="5" t="s">
        <v>27</v>
      </c>
      <c r="T832" s="4" t="s">
        <v>2205</v>
      </c>
      <c r="U832" s="5" t="s">
        <v>29</v>
      </c>
      <c r="V832" s="4">
        <v>1095</v>
      </c>
      <c r="W832" s="5" t="s">
        <v>39</v>
      </c>
      <c r="Z832" s="7" t="s">
        <v>2354</v>
      </c>
    </row>
    <row r="833" spans="1:27" x14ac:dyDescent="0.25">
      <c r="A833" s="7" t="s">
        <v>2634</v>
      </c>
      <c r="B833" s="7" t="s">
        <v>1071</v>
      </c>
      <c r="C833" s="5" t="s">
        <v>12</v>
      </c>
      <c r="D833" s="4" t="s">
        <v>16</v>
      </c>
      <c r="E833" s="5" t="s">
        <v>2227</v>
      </c>
      <c r="F833" s="4" t="s">
        <v>2334</v>
      </c>
      <c r="G833" s="9" t="s">
        <v>50</v>
      </c>
      <c r="H833" s="32">
        <v>45471</v>
      </c>
      <c r="J833" s="4" t="s">
        <v>101</v>
      </c>
      <c r="N833" s="4" t="s">
        <v>73</v>
      </c>
      <c r="O833" s="6">
        <v>45455</v>
      </c>
      <c r="Q833" s="9">
        <f ca="1">IF(P833="",TODAY()-O833,P833-O833)</f>
        <v>114</v>
      </c>
      <c r="S833" s="5" t="s">
        <v>27</v>
      </c>
      <c r="T833" s="4" t="s">
        <v>2205</v>
      </c>
      <c r="U833" s="5" t="s">
        <v>29</v>
      </c>
      <c r="V833" s="4">
        <v>1096</v>
      </c>
      <c r="W833" s="5" t="s">
        <v>39</v>
      </c>
      <c r="Z833" s="7" t="s">
        <v>2354</v>
      </c>
    </row>
    <row r="834" spans="1:27" x14ac:dyDescent="0.25">
      <c r="A834" s="7" t="s">
        <v>2635</v>
      </c>
      <c r="B834" s="7" t="s">
        <v>1071</v>
      </c>
      <c r="C834" s="5" t="s">
        <v>12</v>
      </c>
      <c r="D834" s="4" t="s">
        <v>16</v>
      </c>
      <c r="E834" s="5" t="s">
        <v>2227</v>
      </c>
      <c r="F834" s="4" t="s">
        <v>2334</v>
      </c>
      <c r="G834" s="9" t="s">
        <v>50</v>
      </c>
      <c r="H834" s="32">
        <v>45471</v>
      </c>
      <c r="J834" s="4" t="s">
        <v>101</v>
      </c>
      <c r="N834" s="4" t="s">
        <v>73</v>
      </c>
      <c r="O834" s="6">
        <v>45455</v>
      </c>
      <c r="Q834" s="9">
        <f ca="1">IF(P834="",TODAY()-O834,P834-O834)</f>
        <v>114</v>
      </c>
      <c r="S834" s="5" t="s">
        <v>27</v>
      </c>
      <c r="T834" s="4" t="s">
        <v>2205</v>
      </c>
      <c r="U834" s="5" t="s">
        <v>29</v>
      </c>
      <c r="V834" s="4">
        <v>1097</v>
      </c>
      <c r="W834" s="5" t="s">
        <v>39</v>
      </c>
      <c r="Z834" s="7" t="s">
        <v>2354</v>
      </c>
    </row>
    <row r="835" spans="1:27" x14ac:dyDescent="0.25">
      <c r="A835" s="7" t="s">
        <v>2636</v>
      </c>
      <c r="B835" s="7" t="s">
        <v>1071</v>
      </c>
      <c r="C835" s="5" t="s">
        <v>12</v>
      </c>
      <c r="D835" s="4" t="s">
        <v>16</v>
      </c>
      <c r="E835" s="5" t="s">
        <v>2228</v>
      </c>
      <c r="F835" s="4" t="s">
        <v>2334</v>
      </c>
      <c r="G835" s="9" t="s">
        <v>50</v>
      </c>
      <c r="H835" s="32">
        <v>45471</v>
      </c>
      <c r="J835" s="4" t="s">
        <v>101</v>
      </c>
      <c r="N835" s="4" t="s">
        <v>73</v>
      </c>
      <c r="O835" s="6">
        <v>45455</v>
      </c>
      <c r="Q835" s="9">
        <f ca="1">IF(P835="",TODAY()-O835,P835-O835)</f>
        <v>114</v>
      </c>
      <c r="S835" s="5" t="s">
        <v>27</v>
      </c>
      <c r="T835" s="4" t="s">
        <v>2205</v>
      </c>
      <c r="U835" s="5" t="s">
        <v>29</v>
      </c>
      <c r="V835" s="4">
        <v>1098</v>
      </c>
      <c r="W835" s="5" t="s">
        <v>39</v>
      </c>
      <c r="Z835" s="7" t="s">
        <v>2354</v>
      </c>
    </row>
    <row r="836" spans="1:27" x14ac:dyDescent="0.25">
      <c r="A836" s="7" t="s">
        <v>2331</v>
      </c>
      <c r="B836" s="7" t="s">
        <v>1071</v>
      </c>
      <c r="C836" s="5" t="s">
        <v>12</v>
      </c>
      <c r="D836" s="4" t="s">
        <v>16</v>
      </c>
      <c r="E836" s="5" t="s">
        <v>2228</v>
      </c>
      <c r="F836" s="4" t="s">
        <v>2335</v>
      </c>
      <c r="G836" s="9" t="s">
        <v>51</v>
      </c>
      <c r="H836" s="32">
        <v>45469</v>
      </c>
      <c r="I836" s="33">
        <v>45496</v>
      </c>
      <c r="J836" s="4" t="s">
        <v>503</v>
      </c>
      <c r="N836" s="4" t="s">
        <v>73</v>
      </c>
      <c r="O836" s="6">
        <v>45455</v>
      </c>
      <c r="P836" s="11">
        <v>45503</v>
      </c>
      <c r="Q836" s="9">
        <f ca="1">IF(P836="",TODAY()-O836,P836-O836)</f>
        <v>48</v>
      </c>
      <c r="R836" s="4" t="s">
        <v>41</v>
      </c>
      <c r="S836" s="5" t="s">
        <v>27</v>
      </c>
      <c r="T836" s="4" t="s">
        <v>38</v>
      </c>
      <c r="U836" s="5" t="s">
        <v>30</v>
      </c>
      <c r="X836" s="38" t="s">
        <v>2594</v>
      </c>
      <c r="Y836" s="44">
        <v>45469</v>
      </c>
      <c r="Z836" s="7" t="s">
        <v>2590</v>
      </c>
    </row>
    <row r="837" spans="1:27" x14ac:dyDescent="0.25">
      <c r="A837" s="7" t="s">
        <v>2330</v>
      </c>
      <c r="B837" s="7" t="s">
        <v>1071</v>
      </c>
      <c r="C837" s="5" t="s">
        <v>12</v>
      </c>
      <c r="D837" s="4" t="s">
        <v>16</v>
      </c>
      <c r="E837" s="5" t="s">
        <v>2228</v>
      </c>
      <c r="F837" s="4" t="s">
        <v>2335</v>
      </c>
      <c r="G837" s="9" t="s">
        <v>51</v>
      </c>
      <c r="H837" s="32">
        <v>45469</v>
      </c>
      <c r="I837" s="33">
        <v>45496</v>
      </c>
      <c r="J837" s="4" t="s">
        <v>503</v>
      </c>
      <c r="N837" s="4" t="s">
        <v>73</v>
      </c>
      <c r="O837" s="6">
        <v>45455</v>
      </c>
      <c r="P837" s="11">
        <v>45503</v>
      </c>
      <c r="Q837" s="9">
        <f ca="1">IF(P837="",TODAY()-O837,P837-O837)</f>
        <v>48</v>
      </c>
      <c r="R837" s="4" t="s">
        <v>41</v>
      </c>
      <c r="S837" s="5" t="s">
        <v>27</v>
      </c>
      <c r="T837" s="4" t="s">
        <v>38</v>
      </c>
      <c r="U837" s="5" t="s">
        <v>30</v>
      </c>
      <c r="X837" s="38" t="s">
        <v>2593</v>
      </c>
      <c r="Y837" s="44">
        <v>45469</v>
      </c>
      <c r="Z837" s="7" t="s">
        <v>2590</v>
      </c>
    </row>
    <row r="838" spans="1:27" x14ac:dyDescent="0.25">
      <c r="A838" s="7" t="s">
        <v>2333</v>
      </c>
      <c r="B838" s="7" t="s">
        <v>1071</v>
      </c>
      <c r="C838" s="5" t="s">
        <v>12</v>
      </c>
      <c r="D838" s="4" t="s">
        <v>16</v>
      </c>
      <c r="E838" s="5" t="s">
        <v>2228</v>
      </c>
      <c r="F838" s="4" t="s">
        <v>2335</v>
      </c>
      <c r="G838" s="9" t="s">
        <v>51</v>
      </c>
      <c r="H838" s="32">
        <v>45469</v>
      </c>
      <c r="I838" s="33">
        <v>45496</v>
      </c>
      <c r="J838" s="4" t="s">
        <v>503</v>
      </c>
      <c r="N838" s="4" t="s">
        <v>73</v>
      </c>
      <c r="O838" s="6">
        <v>45455</v>
      </c>
      <c r="P838" s="11">
        <v>45509</v>
      </c>
      <c r="Q838" s="9">
        <f ca="1">IF(P838="",TODAY()-O838,P838-O838)</f>
        <v>54</v>
      </c>
      <c r="R838" s="4" t="s">
        <v>41</v>
      </c>
      <c r="S838" s="5" t="s">
        <v>27</v>
      </c>
      <c r="T838" s="4" t="s">
        <v>38</v>
      </c>
      <c r="U838" s="5" t="s">
        <v>30</v>
      </c>
      <c r="X838" s="38" t="s">
        <v>2592</v>
      </c>
      <c r="Y838" s="44">
        <v>45471</v>
      </c>
      <c r="Z838" s="7" t="s">
        <v>2590</v>
      </c>
    </row>
    <row r="839" spans="1:27" s="13" customFormat="1" x14ac:dyDescent="0.25">
      <c r="A839" s="7" t="s">
        <v>2332</v>
      </c>
      <c r="B839" s="7" t="s">
        <v>1071</v>
      </c>
      <c r="C839" s="5" t="s">
        <v>12</v>
      </c>
      <c r="D839" s="4" t="s">
        <v>16</v>
      </c>
      <c r="E839" s="5" t="s">
        <v>2227</v>
      </c>
      <c r="F839" s="4" t="s">
        <v>2335</v>
      </c>
      <c r="G839" s="9" t="s">
        <v>51</v>
      </c>
      <c r="H839" s="32">
        <v>45469</v>
      </c>
      <c r="I839" s="33">
        <v>45496</v>
      </c>
      <c r="J839" s="4" t="s">
        <v>503</v>
      </c>
      <c r="K839" s="5"/>
      <c r="L839" s="7"/>
      <c r="M839" s="7"/>
      <c r="N839" s="4" t="s">
        <v>73</v>
      </c>
      <c r="O839" s="6">
        <v>45455</v>
      </c>
      <c r="P839" s="11">
        <v>45506</v>
      </c>
      <c r="Q839" s="9">
        <f ca="1">IF(P839="",TODAY()-O839,P839-O839)</f>
        <v>51</v>
      </c>
      <c r="R839" s="4" t="s">
        <v>41</v>
      </c>
      <c r="S839" s="5" t="s">
        <v>27</v>
      </c>
      <c r="T839" s="4" t="s">
        <v>38</v>
      </c>
      <c r="U839" s="5" t="s">
        <v>30</v>
      </c>
      <c r="V839" s="4"/>
      <c r="W839" s="5"/>
      <c r="X839" s="38" t="s">
        <v>2591</v>
      </c>
      <c r="Y839" s="44">
        <v>45469</v>
      </c>
      <c r="Z839" s="7" t="s">
        <v>2590</v>
      </c>
      <c r="AA839" s="4"/>
    </row>
    <row r="840" spans="1:27" s="13" customFormat="1" x14ac:dyDescent="0.25">
      <c r="A840" s="7" t="s">
        <v>2522</v>
      </c>
      <c r="B840" s="7" t="s">
        <v>1071</v>
      </c>
      <c r="C840" s="5" t="s">
        <v>12</v>
      </c>
      <c r="D840" s="4" t="s">
        <v>311</v>
      </c>
      <c r="E840" s="5"/>
      <c r="F840" s="4" t="s">
        <v>2525</v>
      </c>
      <c r="G840" s="9"/>
      <c r="H840" s="30"/>
      <c r="I840" s="9"/>
      <c r="J840" s="4"/>
      <c r="K840" s="5"/>
      <c r="L840" s="7"/>
      <c r="M840" s="7"/>
      <c r="N840" s="4" t="s">
        <v>73</v>
      </c>
      <c r="O840" s="6">
        <v>45455</v>
      </c>
      <c r="P840" s="4"/>
      <c r="Q840" s="9">
        <f ca="1">IF(P840="",TODAY()-O840,P840-O840)</f>
        <v>114</v>
      </c>
      <c r="R840" s="4"/>
      <c r="S840" s="5" t="s">
        <v>26</v>
      </c>
      <c r="T840" s="4" t="s">
        <v>38</v>
      </c>
      <c r="U840" s="5"/>
      <c r="V840" s="4"/>
      <c r="W840" s="5" t="s">
        <v>38</v>
      </c>
      <c r="X840" s="38"/>
      <c r="Y840" s="42"/>
      <c r="Z840" s="7"/>
      <c r="AA840" s="4"/>
    </row>
    <row r="841" spans="1:27" x14ac:dyDescent="0.25">
      <c r="A841" s="7" t="s">
        <v>2523</v>
      </c>
      <c r="B841" s="7" t="s">
        <v>1071</v>
      </c>
      <c r="C841" s="5" t="s">
        <v>12</v>
      </c>
      <c r="D841" s="4" t="s">
        <v>17</v>
      </c>
      <c r="F841" s="4" t="s">
        <v>2525</v>
      </c>
      <c r="N841" s="4" t="s">
        <v>73</v>
      </c>
      <c r="O841" s="6">
        <v>45455</v>
      </c>
      <c r="Q841" s="9">
        <f ca="1">IF(P841="",TODAY()-O841,P841-O841)</f>
        <v>114</v>
      </c>
      <c r="S841" s="5" t="s">
        <v>26</v>
      </c>
      <c r="T841" s="4" t="s">
        <v>38</v>
      </c>
      <c r="W841" s="5" t="s">
        <v>38</v>
      </c>
    </row>
    <row r="842" spans="1:27" x14ac:dyDescent="0.25">
      <c r="A842" s="7" t="s">
        <v>2524</v>
      </c>
      <c r="B842" s="7" t="s">
        <v>1071</v>
      </c>
      <c r="C842" s="5" t="s">
        <v>12</v>
      </c>
      <c r="D842" s="4" t="s">
        <v>17</v>
      </c>
      <c r="F842" s="4" t="s">
        <v>2525</v>
      </c>
      <c r="N842" s="4" t="s">
        <v>73</v>
      </c>
      <c r="O842" s="6">
        <v>45455</v>
      </c>
      <c r="Q842" s="9">
        <f ca="1">IF(P842="",TODAY()-O842,P842-O842)</f>
        <v>114</v>
      </c>
      <c r="S842" s="5" t="s">
        <v>26</v>
      </c>
      <c r="T842" s="4" t="s">
        <v>38</v>
      </c>
      <c r="W842" s="5" t="s">
        <v>38</v>
      </c>
    </row>
    <row r="843" spans="1:27" s="13" customFormat="1" ht="30" x14ac:dyDescent="0.25">
      <c r="A843" s="28" t="s">
        <v>2343</v>
      </c>
      <c r="B843" s="28" t="s">
        <v>1071</v>
      </c>
      <c r="C843" s="14" t="s">
        <v>12</v>
      </c>
      <c r="D843" s="13" t="s">
        <v>20</v>
      </c>
      <c r="E843" s="14" t="s">
        <v>2228</v>
      </c>
      <c r="F843" s="58" t="s">
        <v>2749</v>
      </c>
      <c r="G843" s="15" t="s">
        <v>51</v>
      </c>
      <c r="H843" s="35">
        <v>45470</v>
      </c>
      <c r="I843" s="34">
        <v>45490</v>
      </c>
      <c r="J843" s="13" t="s">
        <v>101</v>
      </c>
      <c r="K843" s="14"/>
      <c r="L843" s="28"/>
      <c r="M843" s="28"/>
      <c r="N843" s="13" t="s">
        <v>73</v>
      </c>
      <c r="O843" s="16">
        <v>45457</v>
      </c>
      <c r="Q843" s="15">
        <f ca="1">IF(P843="",TODAY()-O843,P843-O843)</f>
        <v>112</v>
      </c>
      <c r="S843" s="14" t="s">
        <v>631</v>
      </c>
      <c r="T843" s="13" t="s">
        <v>2781</v>
      </c>
      <c r="U843" s="14" t="s">
        <v>29</v>
      </c>
      <c r="V843" s="13">
        <v>1091</v>
      </c>
      <c r="W843" s="14" t="s">
        <v>1460</v>
      </c>
      <c r="X843" s="39" t="s">
        <v>2785</v>
      </c>
      <c r="Y843" s="59">
        <v>45490</v>
      </c>
      <c r="Z843" s="28" t="s">
        <v>2502</v>
      </c>
    </row>
    <row r="844" spans="1:27" s="13" customFormat="1" ht="30" x14ac:dyDescent="0.25">
      <c r="A844" s="28" t="s">
        <v>2344</v>
      </c>
      <c r="B844" s="28" t="s">
        <v>1071</v>
      </c>
      <c r="C844" s="14" t="s">
        <v>12</v>
      </c>
      <c r="D844" s="13" t="s">
        <v>17</v>
      </c>
      <c r="E844" s="14" t="s">
        <v>2227</v>
      </c>
      <c r="F844" s="58" t="s">
        <v>2749</v>
      </c>
      <c r="G844" s="15" t="s">
        <v>51</v>
      </c>
      <c r="H844" s="35">
        <v>45470</v>
      </c>
      <c r="I844" s="34">
        <v>45490</v>
      </c>
      <c r="J844" s="13" t="s">
        <v>101</v>
      </c>
      <c r="K844" s="14"/>
      <c r="L844" s="28"/>
      <c r="M844" s="28"/>
      <c r="N844" s="13" t="s">
        <v>73</v>
      </c>
      <c r="O844" s="16">
        <v>45457</v>
      </c>
      <c r="Q844" s="15">
        <f ca="1">IF(P844="",TODAY()-O844,P844-O844)</f>
        <v>112</v>
      </c>
      <c r="S844" s="14" t="s">
        <v>631</v>
      </c>
      <c r="T844" s="13" t="s">
        <v>2781</v>
      </c>
      <c r="U844" s="14" t="s">
        <v>29</v>
      </c>
      <c r="V844" s="13">
        <v>1092</v>
      </c>
      <c r="W844" s="14" t="s">
        <v>1460</v>
      </c>
      <c r="X844" s="39" t="s">
        <v>2784</v>
      </c>
      <c r="Y844" s="59">
        <v>45490</v>
      </c>
      <c r="Z844" s="28" t="s">
        <v>2502</v>
      </c>
    </row>
    <row r="845" spans="1:27" x14ac:dyDescent="0.25">
      <c r="A845" s="7" t="s">
        <v>2316</v>
      </c>
      <c r="B845" s="7" t="s">
        <v>1071</v>
      </c>
      <c r="C845" s="5" t="s">
        <v>620</v>
      </c>
      <c r="D845" s="4" t="s">
        <v>20</v>
      </c>
      <c r="F845" s="4" t="s">
        <v>2317</v>
      </c>
      <c r="N845" s="4" t="s">
        <v>73</v>
      </c>
      <c r="O845" s="6">
        <v>45458</v>
      </c>
      <c r="Q845" s="9">
        <f ca="1">IF(P845="",TODAY()-O845,P845-O845)</f>
        <v>111</v>
      </c>
      <c r="S845" s="5" t="s">
        <v>27</v>
      </c>
      <c r="T845" s="4" t="s">
        <v>112</v>
      </c>
      <c r="W845" s="5" t="s">
        <v>2318</v>
      </c>
      <c r="Z845" s="7" t="s">
        <v>2319</v>
      </c>
    </row>
    <row r="846" spans="1:27" x14ac:dyDescent="0.25">
      <c r="A846" s="7" t="s">
        <v>2340</v>
      </c>
      <c r="B846" s="7" t="s">
        <v>1071</v>
      </c>
      <c r="C846" s="5" t="s">
        <v>12</v>
      </c>
      <c r="D846" s="4" t="s">
        <v>14</v>
      </c>
      <c r="E846" s="5" t="s">
        <v>24</v>
      </c>
      <c r="F846" s="4" t="s">
        <v>2341</v>
      </c>
      <c r="G846" s="9" t="s">
        <v>51</v>
      </c>
      <c r="H846" s="32">
        <v>45483</v>
      </c>
      <c r="I846" s="33">
        <v>45532</v>
      </c>
      <c r="J846" s="4" t="s">
        <v>101</v>
      </c>
      <c r="K846" s="6">
        <v>45505</v>
      </c>
      <c r="L846" s="7" t="s">
        <v>2016</v>
      </c>
      <c r="M846" s="7" t="s">
        <v>2016</v>
      </c>
      <c r="N846" s="4" t="s">
        <v>73</v>
      </c>
      <c r="O846" s="6">
        <v>45458</v>
      </c>
      <c r="P846" s="11">
        <v>45545</v>
      </c>
      <c r="Q846" s="9">
        <f ca="1">IF(P846="",TODAY()-O846,P846-O846)</f>
        <v>87</v>
      </c>
      <c r="R846" s="4" t="s">
        <v>41</v>
      </c>
      <c r="S846" s="5" t="s">
        <v>26</v>
      </c>
      <c r="T846" s="4" t="s">
        <v>2398</v>
      </c>
      <c r="U846" s="5" t="s">
        <v>29</v>
      </c>
      <c r="V846" s="4">
        <v>1087</v>
      </c>
      <c r="W846" s="5" t="s">
        <v>39</v>
      </c>
      <c r="X846" s="38" t="s">
        <v>2723</v>
      </c>
      <c r="Y846" s="44">
        <v>45483</v>
      </c>
      <c r="Z846" s="7" t="s">
        <v>2724</v>
      </c>
    </row>
    <row r="847" spans="1:27" ht="30" x14ac:dyDescent="0.25">
      <c r="A847" s="28" t="s">
        <v>2345</v>
      </c>
      <c r="B847" s="28" t="s">
        <v>1071</v>
      </c>
      <c r="C847" s="14" t="s">
        <v>12</v>
      </c>
      <c r="D847" s="13" t="s">
        <v>20</v>
      </c>
      <c r="E847" s="14" t="s">
        <v>2227</v>
      </c>
      <c r="F847" s="58" t="s">
        <v>2749</v>
      </c>
      <c r="G847" s="15" t="s">
        <v>51</v>
      </c>
      <c r="H847" s="35">
        <v>45470</v>
      </c>
      <c r="I847" s="34">
        <v>45490</v>
      </c>
      <c r="J847" s="13" t="s">
        <v>101</v>
      </c>
      <c r="K847" s="14"/>
      <c r="L847" s="28"/>
      <c r="M847" s="28"/>
      <c r="N847" s="13" t="s">
        <v>73</v>
      </c>
      <c r="O847" s="16">
        <v>45458</v>
      </c>
      <c r="P847" s="13"/>
      <c r="Q847" s="15">
        <f ca="1">IF(P847="",TODAY()-O847,P847-O847)</f>
        <v>111</v>
      </c>
      <c r="R847" s="13"/>
      <c r="S847" s="14" t="s">
        <v>631</v>
      </c>
      <c r="T847" s="13" t="s">
        <v>2781</v>
      </c>
      <c r="U847" s="14" t="s">
        <v>29</v>
      </c>
      <c r="V847" s="13">
        <v>1093</v>
      </c>
      <c r="W847" s="14" t="s">
        <v>1460</v>
      </c>
      <c r="X847" s="39" t="s">
        <v>2783</v>
      </c>
      <c r="Y847" s="59">
        <v>45490</v>
      </c>
      <c r="Z847" s="28" t="s">
        <v>2502</v>
      </c>
      <c r="AA847" s="13"/>
    </row>
    <row r="848" spans="1:27" ht="30" x14ac:dyDescent="0.25">
      <c r="A848" s="28" t="s">
        <v>2346</v>
      </c>
      <c r="B848" s="28" t="s">
        <v>1071</v>
      </c>
      <c r="C848" s="14" t="s">
        <v>12</v>
      </c>
      <c r="D848" s="13" t="s">
        <v>20</v>
      </c>
      <c r="E848" s="14" t="s">
        <v>2228</v>
      </c>
      <c r="F848" s="58" t="s">
        <v>2749</v>
      </c>
      <c r="G848" s="15" t="s">
        <v>51</v>
      </c>
      <c r="H848" s="35">
        <v>45470</v>
      </c>
      <c r="I848" s="34">
        <v>45490</v>
      </c>
      <c r="J848" s="13" t="s">
        <v>101</v>
      </c>
      <c r="K848" s="14"/>
      <c r="L848" s="28"/>
      <c r="M848" s="28"/>
      <c r="N848" s="13" t="s">
        <v>73</v>
      </c>
      <c r="O848" s="16">
        <v>45458</v>
      </c>
      <c r="P848" s="13"/>
      <c r="Q848" s="15">
        <f ca="1">IF(P848="",TODAY()-O848,P848-O848)</f>
        <v>111</v>
      </c>
      <c r="R848" s="13"/>
      <c r="S848" s="14" t="s">
        <v>631</v>
      </c>
      <c r="T848" s="13" t="s">
        <v>2781</v>
      </c>
      <c r="U848" s="14" t="s">
        <v>29</v>
      </c>
      <c r="V848" s="13">
        <v>1094</v>
      </c>
      <c r="W848" s="14" t="s">
        <v>1460</v>
      </c>
      <c r="X848" s="39" t="s">
        <v>2782</v>
      </c>
      <c r="Y848" s="59">
        <v>45490</v>
      </c>
      <c r="Z848" s="28" t="s">
        <v>2502</v>
      </c>
      <c r="AA848" s="13"/>
    </row>
    <row r="849" spans="1:27" x14ac:dyDescent="0.25">
      <c r="A849" s="7" t="s">
        <v>2410</v>
      </c>
      <c r="B849" s="7" t="s">
        <v>1071</v>
      </c>
      <c r="C849" s="5" t="s">
        <v>620</v>
      </c>
      <c r="D849" s="4" t="s">
        <v>20</v>
      </c>
      <c r="E849" s="5" t="s">
        <v>2227</v>
      </c>
      <c r="F849" s="4" t="s">
        <v>1026</v>
      </c>
      <c r="N849" s="4" t="s">
        <v>73</v>
      </c>
      <c r="O849" s="6">
        <v>45458</v>
      </c>
      <c r="Q849" s="9">
        <f ca="1">IF(P849="",TODAY()-O849,P849-O849)</f>
        <v>111</v>
      </c>
      <c r="S849" s="5" t="s">
        <v>27</v>
      </c>
      <c r="T849" s="4" t="s">
        <v>112</v>
      </c>
      <c r="W849" s="5" t="s">
        <v>2318</v>
      </c>
      <c r="Z849" s="7" t="s">
        <v>2509</v>
      </c>
    </row>
    <row r="850" spans="1:27" x14ac:dyDescent="0.25">
      <c r="A850" s="7" t="s">
        <v>2510</v>
      </c>
      <c r="B850" s="7" t="s">
        <v>1071</v>
      </c>
      <c r="C850" s="5" t="s">
        <v>12</v>
      </c>
      <c r="D850" s="4" t="s">
        <v>19</v>
      </c>
      <c r="E850" s="5" t="s">
        <v>24</v>
      </c>
      <c r="F850" s="4" t="s">
        <v>384</v>
      </c>
      <c r="K850" s="6">
        <v>45461</v>
      </c>
      <c r="L850" s="7" t="s">
        <v>2016</v>
      </c>
      <c r="M850" s="7" t="s">
        <v>2016</v>
      </c>
      <c r="O850" s="6">
        <v>45461</v>
      </c>
      <c r="P850" s="11">
        <v>45461</v>
      </c>
      <c r="Q850" s="9">
        <f ca="1">IF(P850="",TODAY()-O850,P850-O850)</f>
        <v>0</v>
      </c>
      <c r="R850" s="4" t="s">
        <v>2039</v>
      </c>
      <c r="S850" s="5" t="s">
        <v>631</v>
      </c>
      <c r="U850" s="5" t="s">
        <v>31</v>
      </c>
      <c r="W850" s="5" t="s">
        <v>112</v>
      </c>
    </row>
    <row r="851" spans="1:27" x14ac:dyDescent="0.25">
      <c r="A851" s="7" t="s">
        <v>2512</v>
      </c>
      <c r="B851" s="7" t="s">
        <v>1071</v>
      </c>
      <c r="C851" s="5" t="s">
        <v>12</v>
      </c>
      <c r="D851" s="4" t="s">
        <v>16</v>
      </c>
      <c r="E851" s="5" t="s">
        <v>25</v>
      </c>
      <c r="F851" s="4" t="s">
        <v>384</v>
      </c>
      <c r="K851" s="6">
        <v>45461</v>
      </c>
      <c r="L851" s="7" t="s">
        <v>2016</v>
      </c>
      <c r="M851" s="7" t="s">
        <v>2016</v>
      </c>
      <c r="O851" s="6">
        <v>45461</v>
      </c>
      <c r="P851" s="11">
        <v>45466</v>
      </c>
      <c r="Q851" s="9">
        <f ca="1">IF(P851="",TODAY()-O851,P851-O851)</f>
        <v>5</v>
      </c>
      <c r="R851" s="4" t="s">
        <v>2039</v>
      </c>
      <c r="S851" s="5" t="s">
        <v>631</v>
      </c>
      <c r="T851" s="4" t="s">
        <v>112</v>
      </c>
      <c r="U851" s="5" t="s">
        <v>30</v>
      </c>
      <c r="W851" s="5" t="s">
        <v>112</v>
      </c>
      <c r="Z851" s="7" t="s">
        <v>2513</v>
      </c>
    </row>
    <row r="852" spans="1:27" x14ac:dyDescent="0.25">
      <c r="A852" s="7" t="s">
        <v>2320</v>
      </c>
      <c r="B852" s="7" t="s">
        <v>1071</v>
      </c>
      <c r="C852" s="5" t="s">
        <v>12</v>
      </c>
      <c r="D852" s="4" t="s">
        <v>20</v>
      </c>
      <c r="E852" s="5" t="s">
        <v>25</v>
      </c>
      <c r="F852" s="4" t="s">
        <v>2321</v>
      </c>
      <c r="N852" s="4" t="s">
        <v>9</v>
      </c>
      <c r="O852" s="6">
        <v>45462</v>
      </c>
      <c r="P852" s="11">
        <v>45462</v>
      </c>
      <c r="Q852" s="9">
        <f ca="1">IF(P852="",TODAY()-O852,P852-O852)</f>
        <v>0</v>
      </c>
      <c r="R852" s="4" t="s">
        <v>42</v>
      </c>
      <c r="S852" s="5" t="s">
        <v>26</v>
      </c>
      <c r="Z852" s="7" t="s">
        <v>2322</v>
      </c>
    </row>
    <row r="853" spans="1:27" x14ac:dyDescent="0.25">
      <c r="A853" s="7" t="s">
        <v>2519</v>
      </c>
      <c r="B853" s="7" t="s">
        <v>1071</v>
      </c>
      <c r="C853" s="5" t="s">
        <v>12</v>
      </c>
      <c r="D853" s="4" t="s">
        <v>14</v>
      </c>
      <c r="E853" s="5" t="s">
        <v>2228</v>
      </c>
      <c r="F853" s="4" t="s">
        <v>384</v>
      </c>
      <c r="L853" s="7" t="s">
        <v>2017</v>
      </c>
      <c r="M853" s="7" t="s">
        <v>2016</v>
      </c>
      <c r="N853" s="4" t="s">
        <v>9</v>
      </c>
      <c r="O853" s="6">
        <v>45470</v>
      </c>
      <c r="P853" s="11">
        <v>45470</v>
      </c>
      <c r="Q853" s="9">
        <f ca="1">IF(P853="",TODAY()-O853,P853-O853)</f>
        <v>0</v>
      </c>
      <c r="R853" s="4" t="s">
        <v>42</v>
      </c>
      <c r="S853" s="5" t="s">
        <v>631</v>
      </c>
      <c r="U853" s="5" t="s">
        <v>31</v>
      </c>
      <c r="W853" s="5" t="s">
        <v>2318</v>
      </c>
      <c r="Z853" s="7" t="s">
        <v>2379</v>
      </c>
    </row>
    <row r="854" spans="1:27" s="13" customFormat="1" ht="32.25" customHeight="1" x14ac:dyDescent="0.25">
      <c r="A854" s="7" t="s">
        <v>2373</v>
      </c>
      <c r="B854" s="7" t="s">
        <v>1071</v>
      </c>
      <c r="C854" s="5" t="s">
        <v>12</v>
      </c>
      <c r="D854" s="4" t="s">
        <v>311</v>
      </c>
      <c r="E854" s="5" t="s">
        <v>2228</v>
      </c>
      <c r="F854" s="4" t="s">
        <v>583</v>
      </c>
      <c r="G854" s="9" t="s">
        <v>51</v>
      </c>
      <c r="H854" s="32">
        <v>45481</v>
      </c>
      <c r="I854" s="33">
        <v>45502</v>
      </c>
      <c r="J854" s="4" t="s">
        <v>101</v>
      </c>
      <c r="K854" s="5"/>
      <c r="L854" s="7"/>
      <c r="M854" s="7"/>
      <c r="N854" s="4" t="s">
        <v>73</v>
      </c>
      <c r="O854" s="6">
        <v>45473</v>
      </c>
      <c r="P854" s="11">
        <v>45522</v>
      </c>
      <c r="Q854" s="9">
        <f ca="1">IF(P854="",TODAY()-O854,P854-O854)</f>
        <v>49</v>
      </c>
      <c r="R854" s="4" t="s">
        <v>41</v>
      </c>
      <c r="S854" s="5" t="s">
        <v>26</v>
      </c>
      <c r="T854" s="4" t="s">
        <v>2378</v>
      </c>
      <c r="U854" s="5" t="s">
        <v>29</v>
      </c>
      <c r="V854" s="4">
        <v>1099</v>
      </c>
      <c r="W854" s="5" t="s">
        <v>39</v>
      </c>
      <c r="X854" s="38" t="s">
        <v>2652</v>
      </c>
      <c r="Y854" s="44">
        <v>45502</v>
      </c>
      <c r="Z854" s="7" t="s">
        <v>2653</v>
      </c>
      <c r="AA854" s="4"/>
    </row>
    <row r="855" spans="1:27" x14ac:dyDescent="0.25">
      <c r="A855" s="7" t="s">
        <v>2374</v>
      </c>
      <c r="B855" s="7" t="s">
        <v>1071</v>
      </c>
      <c r="C855" s="5" t="s">
        <v>12</v>
      </c>
      <c r="D855" s="4" t="s">
        <v>311</v>
      </c>
      <c r="E855" s="5" t="s">
        <v>2227</v>
      </c>
      <c r="F855" s="4" t="s">
        <v>583</v>
      </c>
      <c r="G855" s="9" t="s">
        <v>51</v>
      </c>
      <c r="H855" s="32">
        <v>45481</v>
      </c>
      <c r="I855" s="33">
        <v>45502</v>
      </c>
      <c r="J855" s="4" t="s">
        <v>101</v>
      </c>
      <c r="N855" s="4" t="s">
        <v>73</v>
      </c>
      <c r="O855" s="6">
        <v>45473</v>
      </c>
      <c r="P855" s="11">
        <v>45535</v>
      </c>
      <c r="Q855" s="9">
        <f ca="1">IF(P855="",TODAY()-O855,P855-O855)</f>
        <v>62</v>
      </c>
      <c r="R855" s="4" t="s">
        <v>41</v>
      </c>
      <c r="S855" s="5" t="s">
        <v>26</v>
      </c>
      <c r="T855" s="4" t="s">
        <v>2378</v>
      </c>
      <c r="U855" s="5" t="s">
        <v>29</v>
      </c>
      <c r="V855" s="4">
        <v>1100</v>
      </c>
      <c r="W855" s="5" t="s">
        <v>39</v>
      </c>
      <c r="X855" s="38" t="s">
        <v>2668</v>
      </c>
      <c r="Y855" s="44">
        <v>45502</v>
      </c>
      <c r="Z855" s="7" t="s">
        <v>2669</v>
      </c>
    </row>
    <row r="856" spans="1:27" x14ac:dyDescent="0.25">
      <c r="A856" s="7" t="s">
        <v>2531</v>
      </c>
      <c r="B856" s="7" t="s">
        <v>1071</v>
      </c>
      <c r="C856" s="5" t="s">
        <v>12</v>
      </c>
      <c r="D856" s="4" t="s">
        <v>174</v>
      </c>
      <c r="E856" s="5" t="s">
        <v>2227</v>
      </c>
      <c r="F856" s="4" t="s">
        <v>2530</v>
      </c>
      <c r="G856" s="9" t="s">
        <v>51</v>
      </c>
      <c r="H856" s="32">
        <v>45478</v>
      </c>
      <c r="I856" s="33">
        <v>45503</v>
      </c>
      <c r="J856" s="4" t="s">
        <v>503</v>
      </c>
      <c r="N856" s="4" t="s">
        <v>73</v>
      </c>
      <c r="O856" s="6">
        <v>45474</v>
      </c>
      <c r="P856" s="11">
        <v>45515</v>
      </c>
      <c r="Q856" s="9">
        <f ca="1">IF(P856="",TODAY()-O856,P856-O856)</f>
        <v>41</v>
      </c>
      <c r="R856" s="4" t="s">
        <v>41</v>
      </c>
      <c r="S856" s="5" t="s">
        <v>26</v>
      </c>
      <c r="T856" s="4" t="s">
        <v>132</v>
      </c>
      <c r="U856" s="5" t="s">
        <v>30</v>
      </c>
      <c r="W856" s="5" t="s">
        <v>38</v>
      </c>
      <c r="X856" s="38" t="s">
        <v>2629</v>
      </c>
      <c r="Y856" s="44">
        <v>45478</v>
      </c>
      <c r="Z856" s="7" t="s">
        <v>2630</v>
      </c>
    </row>
    <row r="857" spans="1:27" x14ac:dyDescent="0.25">
      <c r="A857" s="7" t="s">
        <v>2529</v>
      </c>
      <c r="B857" s="7" t="s">
        <v>1071</v>
      </c>
      <c r="C857" s="5" t="s">
        <v>12</v>
      </c>
      <c r="D857" s="4" t="s">
        <v>16</v>
      </c>
      <c r="E857" s="5" t="s">
        <v>25</v>
      </c>
      <c r="F857" s="4" t="s">
        <v>2457</v>
      </c>
      <c r="K857" s="6">
        <v>45477</v>
      </c>
      <c r="O857" s="6">
        <v>45476</v>
      </c>
      <c r="P857" s="11">
        <v>45480</v>
      </c>
      <c r="Q857" s="9">
        <f ca="1">IF(P857="",TODAY()-O857,P857-O857)</f>
        <v>4</v>
      </c>
      <c r="R857" s="4" t="s">
        <v>2039</v>
      </c>
      <c r="S857" s="5" t="s">
        <v>631</v>
      </c>
      <c r="W857" s="5" t="s">
        <v>38</v>
      </c>
    </row>
    <row r="858" spans="1:27" ht="30" x14ac:dyDescent="0.25">
      <c r="A858" s="28" t="s">
        <v>2532</v>
      </c>
      <c r="B858" s="28" t="s">
        <v>1071</v>
      </c>
      <c r="C858" s="14" t="s">
        <v>620</v>
      </c>
      <c r="D858" s="13" t="s">
        <v>16</v>
      </c>
      <c r="E858" s="14" t="s">
        <v>2228</v>
      </c>
      <c r="F858" s="58" t="s">
        <v>2617</v>
      </c>
      <c r="G858" s="15" t="s">
        <v>51</v>
      </c>
      <c r="H858" s="35">
        <v>45488</v>
      </c>
      <c r="I858" s="34">
        <v>45516</v>
      </c>
      <c r="J858" s="13" t="s">
        <v>503</v>
      </c>
      <c r="K858" s="14"/>
      <c r="L858" s="28"/>
      <c r="M858" s="28"/>
      <c r="N858" s="13" t="s">
        <v>73</v>
      </c>
      <c r="O858" s="16">
        <v>45479</v>
      </c>
      <c r="P858" s="36">
        <v>45523</v>
      </c>
      <c r="Q858" s="15">
        <f ca="1">IF(P858="",TODAY()-O858,P858-O858)</f>
        <v>44</v>
      </c>
      <c r="R858" s="13" t="s">
        <v>41</v>
      </c>
      <c r="S858" s="14" t="s">
        <v>27</v>
      </c>
      <c r="T858" s="13" t="s">
        <v>2547</v>
      </c>
      <c r="U858" s="14" t="s">
        <v>2558</v>
      </c>
      <c r="V858" s="13">
        <v>1113</v>
      </c>
      <c r="W858" s="14" t="s">
        <v>38</v>
      </c>
      <c r="X858" s="64" t="s">
        <v>2659</v>
      </c>
      <c r="Y858" s="60" t="s">
        <v>2660</v>
      </c>
      <c r="Z858" s="28" t="s">
        <v>2655</v>
      </c>
      <c r="AA858" s="13"/>
    </row>
    <row r="859" spans="1:27" x14ac:dyDescent="0.25">
      <c r="A859" s="7" t="s">
        <v>2533</v>
      </c>
      <c r="B859" s="7" t="s">
        <v>1071</v>
      </c>
      <c r="C859" s="5" t="s">
        <v>12</v>
      </c>
      <c r="D859" s="4" t="s">
        <v>311</v>
      </c>
      <c r="E859" s="5" t="s">
        <v>2227</v>
      </c>
      <c r="F859" s="4" t="s">
        <v>2528</v>
      </c>
      <c r="G859" s="9" t="s">
        <v>51</v>
      </c>
      <c r="H859" s="32">
        <v>45488</v>
      </c>
      <c r="I859" s="33">
        <v>45516</v>
      </c>
      <c r="J859" s="4" t="s">
        <v>503</v>
      </c>
      <c r="N859" s="4" t="s">
        <v>73</v>
      </c>
      <c r="O859" s="6">
        <v>45479</v>
      </c>
      <c r="P859" s="11">
        <v>45539</v>
      </c>
      <c r="Q859" s="9">
        <f ca="1">IF(P859="",TODAY()-O859,P859-O859)</f>
        <v>60</v>
      </c>
      <c r="R859" s="4" t="s">
        <v>41</v>
      </c>
      <c r="S859" s="5" t="s">
        <v>27</v>
      </c>
      <c r="T859" s="4" t="s">
        <v>2547</v>
      </c>
      <c r="U859" s="5" t="s">
        <v>2558</v>
      </c>
      <c r="V859" s="4">
        <v>1114</v>
      </c>
      <c r="W859" s="5" t="s">
        <v>38</v>
      </c>
      <c r="X859" s="38" t="s">
        <v>2656</v>
      </c>
      <c r="Y859" s="44">
        <v>45516</v>
      </c>
      <c r="Z859" s="7" t="s">
        <v>2690</v>
      </c>
    </row>
    <row r="860" spans="1:27" x14ac:dyDescent="0.25">
      <c r="A860" s="7" t="s">
        <v>2534</v>
      </c>
      <c r="B860" s="7" t="s">
        <v>1071</v>
      </c>
      <c r="C860" s="5" t="s">
        <v>12</v>
      </c>
      <c r="D860" s="4" t="s">
        <v>311</v>
      </c>
      <c r="E860" s="5" t="s">
        <v>2228</v>
      </c>
      <c r="F860" s="4" t="s">
        <v>2528</v>
      </c>
      <c r="G860" s="9" t="s">
        <v>50</v>
      </c>
      <c r="H860" s="32">
        <v>45488</v>
      </c>
      <c r="J860" s="4" t="s">
        <v>503</v>
      </c>
      <c r="N860" s="4" t="s">
        <v>73</v>
      </c>
      <c r="O860" s="6">
        <v>45479</v>
      </c>
      <c r="Q860" s="9">
        <f ca="1">IF(P860="",TODAY()-O860,P860-O860)</f>
        <v>90</v>
      </c>
      <c r="S860" s="5" t="s">
        <v>27</v>
      </c>
      <c r="T860" s="4" t="s">
        <v>2547</v>
      </c>
      <c r="U860" s="5" t="s">
        <v>2558</v>
      </c>
      <c r="V860" s="4">
        <v>1115</v>
      </c>
      <c r="W860" s="5" t="s">
        <v>38</v>
      </c>
      <c r="Z860" s="7" t="s">
        <v>2657</v>
      </c>
    </row>
    <row r="861" spans="1:27" x14ac:dyDescent="0.25">
      <c r="A861" s="7" t="s">
        <v>2535</v>
      </c>
      <c r="B861" s="7" t="s">
        <v>1071</v>
      </c>
      <c r="C861" s="5" t="s">
        <v>12</v>
      </c>
      <c r="D861" s="4" t="s">
        <v>311</v>
      </c>
      <c r="E861" s="5" t="s">
        <v>2227</v>
      </c>
      <c r="F861" s="4" t="s">
        <v>2528</v>
      </c>
      <c r="G861" s="9" t="s">
        <v>51</v>
      </c>
      <c r="H861" s="32">
        <v>45488</v>
      </c>
      <c r="I861" s="33">
        <v>45516</v>
      </c>
      <c r="J861" s="4" t="s">
        <v>503</v>
      </c>
      <c r="N861" s="4" t="s">
        <v>73</v>
      </c>
      <c r="O861" s="6">
        <v>45479</v>
      </c>
      <c r="P861" s="11">
        <v>45539</v>
      </c>
      <c r="Q861" s="9">
        <f ca="1">IF(P861="",TODAY()-O861,P861-O861)</f>
        <v>60</v>
      </c>
      <c r="R861" s="4" t="s">
        <v>41</v>
      </c>
      <c r="S861" s="5" t="s">
        <v>27</v>
      </c>
      <c r="T861" s="4" t="s">
        <v>2547</v>
      </c>
      <c r="U861" s="5" t="s">
        <v>2558</v>
      </c>
      <c r="V861" s="4">
        <v>1116</v>
      </c>
      <c r="W861" s="5" t="s">
        <v>38</v>
      </c>
      <c r="X861" s="38" t="s">
        <v>2658</v>
      </c>
      <c r="Y861" s="44">
        <v>45516</v>
      </c>
      <c r="Z861" s="7" t="s">
        <v>2655</v>
      </c>
    </row>
    <row r="862" spans="1:27" x14ac:dyDescent="0.25">
      <c r="A862" s="7" t="s">
        <v>2536</v>
      </c>
      <c r="B862" s="7" t="s">
        <v>1071</v>
      </c>
      <c r="C862" s="5" t="s">
        <v>12</v>
      </c>
      <c r="D862" s="4" t="s">
        <v>311</v>
      </c>
      <c r="E862" s="5" t="s">
        <v>2228</v>
      </c>
      <c r="F862" s="4" t="s">
        <v>2528</v>
      </c>
      <c r="G862" s="9" t="s">
        <v>51</v>
      </c>
      <c r="H862" s="32">
        <v>45488</v>
      </c>
      <c r="I862" s="33">
        <v>45516</v>
      </c>
      <c r="J862" s="4" t="s">
        <v>503</v>
      </c>
      <c r="N862" s="4" t="s">
        <v>73</v>
      </c>
      <c r="O862" s="6">
        <v>45479</v>
      </c>
      <c r="P862" s="11">
        <v>45525</v>
      </c>
      <c r="Q862" s="9">
        <f ca="1">IF(P862="",TODAY()-O862,P862-O862)</f>
        <v>46</v>
      </c>
      <c r="R862" s="4" t="s">
        <v>41</v>
      </c>
      <c r="S862" s="5" t="s">
        <v>27</v>
      </c>
      <c r="T862" s="4" t="s">
        <v>2547</v>
      </c>
      <c r="U862" s="5" t="s">
        <v>2558</v>
      </c>
      <c r="V862" s="4">
        <v>1117</v>
      </c>
      <c r="W862" s="5" t="s">
        <v>38</v>
      </c>
      <c r="X862" s="38" t="s">
        <v>2663</v>
      </c>
      <c r="Y862" s="44">
        <v>45516</v>
      </c>
      <c r="Z862" s="7" t="s">
        <v>2664</v>
      </c>
    </row>
    <row r="863" spans="1:27" ht="30" x14ac:dyDescent="0.25">
      <c r="A863" s="7" t="s">
        <v>2706</v>
      </c>
      <c r="B863" s="7" t="s">
        <v>1071</v>
      </c>
      <c r="C863" s="5" t="s">
        <v>12</v>
      </c>
      <c r="D863" s="4" t="s">
        <v>20</v>
      </c>
      <c r="E863" s="5" t="s">
        <v>24</v>
      </c>
      <c r="F863" s="46" t="s">
        <v>2708</v>
      </c>
      <c r="G863" s="9" t="s">
        <v>51</v>
      </c>
      <c r="H863" s="32">
        <v>45496</v>
      </c>
      <c r="I863" s="33">
        <v>45527</v>
      </c>
      <c r="J863" s="4" t="s">
        <v>503</v>
      </c>
      <c r="K863" s="6">
        <v>45539</v>
      </c>
      <c r="N863" s="4" t="s">
        <v>73</v>
      </c>
      <c r="O863" s="6">
        <v>45482</v>
      </c>
      <c r="P863" s="11">
        <v>45542</v>
      </c>
      <c r="Q863" s="9">
        <f ca="1">IF(P863="",TODAY()-O863,P863-O863)</f>
        <v>60</v>
      </c>
      <c r="R863" s="4" t="s">
        <v>41</v>
      </c>
      <c r="S863" s="5" t="s">
        <v>26</v>
      </c>
      <c r="T863" s="4" t="s">
        <v>38</v>
      </c>
      <c r="U863" s="5" t="s">
        <v>30</v>
      </c>
      <c r="W863" s="5" t="s">
        <v>38</v>
      </c>
      <c r="X863" s="38" t="s">
        <v>2694</v>
      </c>
      <c r="Y863" s="44">
        <v>45496</v>
      </c>
      <c r="Z863" s="7" t="s">
        <v>2695</v>
      </c>
    </row>
    <row r="864" spans="1:27" ht="30" x14ac:dyDescent="0.25">
      <c r="A864" s="7" t="s">
        <v>2745</v>
      </c>
      <c r="B864" s="7" t="s">
        <v>1071</v>
      </c>
      <c r="C864" s="5" t="s">
        <v>12</v>
      </c>
      <c r="D864" s="4" t="s">
        <v>20</v>
      </c>
      <c r="E864" s="5" t="s">
        <v>24</v>
      </c>
      <c r="F864" s="46" t="s">
        <v>2708</v>
      </c>
      <c r="G864" s="9" t="s">
        <v>51</v>
      </c>
      <c r="H864" s="32">
        <v>45496</v>
      </c>
      <c r="I864" s="33">
        <v>45496</v>
      </c>
      <c r="J864" s="4" t="s">
        <v>503</v>
      </c>
      <c r="K864" s="6">
        <v>45539</v>
      </c>
      <c r="N864" s="4" t="s">
        <v>73</v>
      </c>
      <c r="O864" s="6">
        <v>45482</v>
      </c>
      <c r="P864" s="11">
        <v>45542</v>
      </c>
      <c r="Q864" s="9">
        <f ca="1">IF(P864="",TODAY()-O864,P864-O864)</f>
        <v>60</v>
      </c>
      <c r="R864" s="4" t="s">
        <v>41</v>
      </c>
      <c r="S864" s="5" t="s">
        <v>26</v>
      </c>
      <c r="T864" s="4" t="s">
        <v>38</v>
      </c>
      <c r="U864" s="5" t="s">
        <v>30</v>
      </c>
      <c r="W864" s="5" t="s">
        <v>38</v>
      </c>
      <c r="X864" s="38" t="s">
        <v>2696</v>
      </c>
      <c r="Y864" s="44">
        <v>45496</v>
      </c>
      <c r="Z864" s="7" t="s">
        <v>2695</v>
      </c>
    </row>
    <row r="865" spans="1:26" x14ac:dyDescent="0.25">
      <c r="A865" s="7" t="s">
        <v>2527</v>
      </c>
      <c r="B865" s="7" t="s">
        <v>1071</v>
      </c>
      <c r="C865" s="5" t="s">
        <v>12</v>
      </c>
      <c r="D865" s="4" t="s">
        <v>16</v>
      </c>
      <c r="E865" s="5" t="s">
        <v>25</v>
      </c>
      <c r="F865" s="4" t="s">
        <v>2457</v>
      </c>
      <c r="K865" s="6">
        <v>45484</v>
      </c>
      <c r="O865" s="6">
        <v>45482</v>
      </c>
      <c r="Q865" s="9">
        <f ca="1">IF(P865="",TODAY()-O865,P865-O865)</f>
        <v>87</v>
      </c>
      <c r="S865" s="5" t="s">
        <v>631</v>
      </c>
      <c r="W865" s="5" t="s">
        <v>38</v>
      </c>
    </row>
    <row r="866" spans="1:26" x14ac:dyDescent="0.25">
      <c r="A866" s="7" t="s">
        <v>2514</v>
      </c>
      <c r="B866" s="7" t="s">
        <v>1071</v>
      </c>
      <c r="C866" s="5" t="s">
        <v>12</v>
      </c>
      <c r="D866" s="4" t="s">
        <v>17</v>
      </c>
      <c r="F866" s="4" t="s">
        <v>902</v>
      </c>
      <c r="N866" s="4" t="s">
        <v>73</v>
      </c>
      <c r="O866" s="6">
        <v>45483</v>
      </c>
      <c r="Q866" s="9">
        <f ca="1">IF(P866="",TODAY()-O866,P866-O866)</f>
        <v>86</v>
      </c>
      <c r="S866" s="5" t="s">
        <v>26</v>
      </c>
      <c r="T866" s="4" t="s">
        <v>469</v>
      </c>
      <c r="U866" s="5" t="s">
        <v>32</v>
      </c>
      <c r="W866" s="5" t="s">
        <v>112</v>
      </c>
      <c r="Z866" s="7" t="s">
        <v>2515</v>
      </c>
    </row>
    <row r="867" spans="1:26" x14ac:dyDescent="0.25">
      <c r="A867" s="7" t="s">
        <v>2526</v>
      </c>
      <c r="B867" s="7" t="s">
        <v>1071</v>
      </c>
      <c r="C867" s="5" t="s">
        <v>620</v>
      </c>
      <c r="D867" s="4" t="s">
        <v>17</v>
      </c>
      <c r="E867" s="5" t="s">
        <v>24</v>
      </c>
      <c r="F867" s="4" t="s">
        <v>384</v>
      </c>
      <c r="K867" s="6">
        <v>45484</v>
      </c>
      <c r="N867" s="4" t="s">
        <v>73</v>
      </c>
      <c r="O867" s="6">
        <v>45484</v>
      </c>
      <c r="P867" s="11">
        <v>45485</v>
      </c>
      <c r="Q867" s="9">
        <f ca="1">IF(P867="",TODAY()-O867,P867-O867)</f>
        <v>1</v>
      </c>
      <c r="R867" s="4" t="s">
        <v>2039</v>
      </c>
      <c r="S867" s="5" t="s">
        <v>631</v>
      </c>
      <c r="T867" s="4" t="s">
        <v>38</v>
      </c>
      <c r="U867" s="5" t="s">
        <v>31</v>
      </c>
      <c r="W867" s="5" t="s">
        <v>38</v>
      </c>
    </row>
    <row r="868" spans="1:26" x14ac:dyDescent="0.25">
      <c r="A868" s="7" t="s">
        <v>2527</v>
      </c>
      <c r="B868" s="7" t="s">
        <v>1071</v>
      </c>
      <c r="C868" s="5" t="s">
        <v>12</v>
      </c>
      <c r="D868" s="4" t="s">
        <v>20</v>
      </c>
      <c r="E868" s="5" t="s">
        <v>24</v>
      </c>
      <c r="F868" s="4" t="s">
        <v>384</v>
      </c>
      <c r="K868" s="6">
        <v>45485</v>
      </c>
      <c r="O868" s="6">
        <v>45484</v>
      </c>
      <c r="P868" s="11">
        <v>45485</v>
      </c>
      <c r="Q868" s="9">
        <f ca="1">IF(P868="",TODAY()-O868,P868-O868)</f>
        <v>1</v>
      </c>
      <c r="R868" s="4" t="s">
        <v>2039</v>
      </c>
      <c r="S868" s="5" t="s">
        <v>631</v>
      </c>
      <c r="U868" s="5" t="s">
        <v>30</v>
      </c>
      <c r="W868" s="5" t="s">
        <v>38</v>
      </c>
    </row>
    <row r="869" spans="1:26" x14ac:dyDescent="0.25">
      <c r="A869" s="7" t="s">
        <v>2516</v>
      </c>
      <c r="B869" s="7" t="s">
        <v>1071</v>
      </c>
      <c r="C869" s="5" t="s">
        <v>12</v>
      </c>
      <c r="D869" s="4" t="s">
        <v>1195</v>
      </c>
      <c r="F869" s="4" t="s">
        <v>943</v>
      </c>
      <c r="N869" s="4" t="s">
        <v>73</v>
      </c>
      <c r="O869" s="6">
        <v>45485</v>
      </c>
      <c r="P869" s="11">
        <v>45537</v>
      </c>
      <c r="Q869" s="9">
        <f ca="1">IF(P869="",TODAY()-O869,P869-O869)</f>
        <v>52</v>
      </c>
      <c r="R869" s="4" t="s">
        <v>43</v>
      </c>
      <c r="S869" s="5" t="s">
        <v>26</v>
      </c>
      <c r="T869" s="4" t="s">
        <v>38</v>
      </c>
      <c r="W869" s="5" t="s">
        <v>38</v>
      </c>
    </row>
    <row r="870" spans="1:26" x14ac:dyDescent="0.25">
      <c r="A870" s="7" t="s">
        <v>2517</v>
      </c>
      <c r="B870" s="7" t="s">
        <v>1071</v>
      </c>
      <c r="C870" s="5" t="s">
        <v>12</v>
      </c>
      <c r="D870" s="4" t="s">
        <v>127</v>
      </c>
      <c r="F870" s="4" t="s">
        <v>943</v>
      </c>
      <c r="N870" s="4" t="s">
        <v>73</v>
      </c>
      <c r="O870" s="6">
        <v>45485</v>
      </c>
      <c r="Q870" s="9">
        <f ca="1">IF(P870="",TODAY()-O870,P870-O870)</f>
        <v>84</v>
      </c>
      <c r="S870" s="5" t="s">
        <v>26</v>
      </c>
      <c r="T870" s="4" t="s">
        <v>38</v>
      </c>
      <c r="W870" s="5" t="s">
        <v>38</v>
      </c>
    </row>
    <row r="871" spans="1:26" x14ac:dyDescent="0.25">
      <c r="A871" s="7" t="s">
        <v>2518</v>
      </c>
      <c r="B871" s="7" t="s">
        <v>1071</v>
      </c>
      <c r="C871" s="5" t="s">
        <v>12</v>
      </c>
      <c r="D871" s="4" t="s">
        <v>17</v>
      </c>
      <c r="F871" s="4" t="s">
        <v>943</v>
      </c>
      <c r="N871" s="4" t="s">
        <v>73</v>
      </c>
      <c r="O871" s="6">
        <v>45485</v>
      </c>
      <c r="P871" s="11">
        <v>45497</v>
      </c>
      <c r="Q871" s="9">
        <f ca="1">IF(P871="",TODAY()-O871,P871-O871)</f>
        <v>12</v>
      </c>
      <c r="R871" s="4" t="s">
        <v>43</v>
      </c>
      <c r="S871" s="5" t="s">
        <v>26</v>
      </c>
      <c r="T871" s="4" t="s">
        <v>38</v>
      </c>
      <c r="W871" s="5" t="s">
        <v>38</v>
      </c>
    </row>
    <row r="872" spans="1:26" x14ac:dyDescent="0.25">
      <c r="A872" s="7" t="s">
        <v>2616</v>
      </c>
      <c r="B872" s="7" t="s">
        <v>1071</v>
      </c>
      <c r="C872" s="5" t="s">
        <v>12</v>
      </c>
      <c r="D872" s="4" t="s">
        <v>15</v>
      </c>
      <c r="E872" s="5" t="s">
        <v>25</v>
      </c>
      <c r="F872" s="4" t="s">
        <v>384</v>
      </c>
      <c r="K872" s="6">
        <v>45485</v>
      </c>
      <c r="L872" s="7" t="s">
        <v>2016</v>
      </c>
      <c r="M872" s="7" t="s">
        <v>2016</v>
      </c>
      <c r="N872" s="4" t="s">
        <v>73</v>
      </c>
      <c r="O872" s="6">
        <v>45485</v>
      </c>
      <c r="P872" s="11">
        <v>45491</v>
      </c>
      <c r="Q872" s="9">
        <f ca="1">IF(P872="",TODAY()-O872,P872-O872)</f>
        <v>6</v>
      </c>
      <c r="R872" s="4" t="s">
        <v>2039</v>
      </c>
      <c r="S872" s="5" t="s">
        <v>631</v>
      </c>
      <c r="U872" s="5" t="s">
        <v>31</v>
      </c>
      <c r="W872" s="5" t="s">
        <v>39</v>
      </c>
    </row>
    <row r="873" spans="1:26" x14ac:dyDescent="0.25">
      <c r="A873" s="7" t="s">
        <v>2559</v>
      </c>
      <c r="B873" s="7" t="s">
        <v>1071</v>
      </c>
      <c r="C873" s="5" t="s">
        <v>12</v>
      </c>
      <c r="D873" s="4" t="s">
        <v>311</v>
      </c>
      <c r="F873" s="4" t="s">
        <v>2560</v>
      </c>
      <c r="N873" s="4" t="s">
        <v>73</v>
      </c>
      <c r="O873" s="6">
        <v>45486</v>
      </c>
      <c r="Q873" s="9">
        <f ca="1">IF(P873="",TODAY()-O873,P873-O873)</f>
        <v>83</v>
      </c>
      <c r="S873" s="5" t="s">
        <v>26</v>
      </c>
      <c r="T873" s="4" t="s">
        <v>2547</v>
      </c>
      <c r="U873" s="5" t="s">
        <v>2558</v>
      </c>
    </row>
    <row r="874" spans="1:26" x14ac:dyDescent="0.25">
      <c r="A874" s="7" t="s">
        <v>2581</v>
      </c>
      <c r="B874" s="7" t="s">
        <v>1071</v>
      </c>
      <c r="C874" s="5" t="s">
        <v>12</v>
      </c>
      <c r="N874" s="4" t="s">
        <v>73</v>
      </c>
      <c r="O874" s="6">
        <v>45487</v>
      </c>
      <c r="Q874" s="9">
        <f ca="1">IF(P874="",TODAY()-O874,P874-O874)</f>
        <v>82</v>
      </c>
      <c r="S874" s="5" t="s">
        <v>26</v>
      </c>
      <c r="T874" s="4" t="s">
        <v>2547</v>
      </c>
      <c r="U874" s="5" t="s">
        <v>2558</v>
      </c>
    </row>
    <row r="875" spans="1:26" x14ac:dyDescent="0.25">
      <c r="A875" s="7" t="s">
        <v>2582</v>
      </c>
      <c r="B875" s="7" t="s">
        <v>1071</v>
      </c>
      <c r="C875" s="5" t="s">
        <v>12</v>
      </c>
      <c r="N875" s="4" t="s">
        <v>73</v>
      </c>
      <c r="O875" s="6">
        <v>45487</v>
      </c>
      <c r="Q875" s="9">
        <f ca="1">IF(P875="",TODAY()-O875,P875-O875)</f>
        <v>82</v>
      </c>
      <c r="S875" s="5" t="s">
        <v>26</v>
      </c>
      <c r="T875" s="4" t="s">
        <v>2547</v>
      </c>
      <c r="U875" s="5" t="s">
        <v>2558</v>
      </c>
    </row>
    <row r="876" spans="1:26" x14ac:dyDescent="0.25">
      <c r="A876" s="7" t="s">
        <v>2584</v>
      </c>
      <c r="B876" s="7" t="s">
        <v>1071</v>
      </c>
      <c r="C876" s="5" t="s">
        <v>12</v>
      </c>
      <c r="N876" s="4" t="s">
        <v>73</v>
      </c>
      <c r="O876" s="6">
        <v>45487</v>
      </c>
      <c r="Q876" s="9">
        <f ca="1">IF(P876="",TODAY()-O876,P876-O876)</f>
        <v>82</v>
      </c>
      <c r="S876" s="5" t="s">
        <v>26</v>
      </c>
      <c r="T876" s="4" t="s">
        <v>2547</v>
      </c>
      <c r="U876" s="5" t="s">
        <v>2558</v>
      </c>
    </row>
    <row r="877" spans="1:26" x14ac:dyDescent="0.25">
      <c r="A877" s="7" t="s">
        <v>2583</v>
      </c>
      <c r="B877" s="7" t="s">
        <v>1071</v>
      </c>
      <c r="C877" s="5" t="s">
        <v>12</v>
      </c>
      <c r="N877" s="4" t="s">
        <v>73</v>
      </c>
      <c r="O877" s="6">
        <v>45487</v>
      </c>
      <c r="Q877" s="9">
        <f ca="1">IF(P877="",TODAY()-O877,P877-O877)</f>
        <v>82</v>
      </c>
      <c r="S877" s="5" t="s">
        <v>26</v>
      </c>
      <c r="T877" s="4" t="s">
        <v>2547</v>
      </c>
      <c r="U877" s="5" t="s">
        <v>2558</v>
      </c>
    </row>
    <row r="878" spans="1:26" ht="30" x14ac:dyDescent="0.25">
      <c r="A878" s="7" t="s">
        <v>2412</v>
      </c>
      <c r="B878" s="7" t="s">
        <v>1071</v>
      </c>
      <c r="C878" s="5" t="s">
        <v>12</v>
      </c>
      <c r="D878" s="4" t="s">
        <v>20</v>
      </c>
      <c r="E878" s="5" t="s">
        <v>2228</v>
      </c>
      <c r="F878" s="46" t="s">
        <v>2725</v>
      </c>
      <c r="N878" s="4" t="s">
        <v>73</v>
      </c>
      <c r="O878" s="6">
        <v>45489</v>
      </c>
      <c r="Q878" s="9">
        <f ca="1">IF(P878="",TODAY()-O878,P878-O878)</f>
        <v>80</v>
      </c>
      <c r="S878" s="5" t="s">
        <v>121</v>
      </c>
      <c r="T878" s="4" t="s">
        <v>115</v>
      </c>
      <c r="U878" s="5" t="s">
        <v>32</v>
      </c>
      <c r="W878" s="5" t="s">
        <v>39</v>
      </c>
      <c r="Z878" s="7" t="s">
        <v>2414</v>
      </c>
    </row>
    <row r="879" spans="1:26" ht="30" x14ac:dyDescent="0.25">
      <c r="A879" s="7" t="s">
        <v>2413</v>
      </c>
      <c r="B879" s="7" t="s">
        <v>1071</v>
      </c>
      <c r="C879" s="5" t="s">
        <v>12</v>
      </c>
      <c r="D879" s="4" t="s">
        <v>17</v>
      </c>
      <c r="E879" s="5" t="s">
        <v>2227</v>
      </c>
      <c r="F879" s="46" t="s">
        <v>2725</v>
      </c>
      <c r="N879" s="4" t="s">
        <v>73</v>
      </c>
      <c r="O879" s="6">
        <v>45489</v>
      </c>
      <c r="Q879" s="9">
        <f ca="1">IF(P879="",TODAY()-O879,P879-O879)</f>
        <v>80</v>
      </c>
      <c r="S879" s="5" t="s">
        <v>121</v>
      </c>
      <c r="T879" s="4" t="s">
        <v>115</v>
      </c>
      <c r="U879" s="5" t="s">
        <v>32</v>
      </c>
      <c r="W879" s="5" t="s">
        <v>39</v>
      </c>
      <c r="Z879" s="7" t="s">
        <v>2414</v>
      </c>
    </row>
    <row r="880" spans="1:26" x14ac:dyDescent="0.25">
      <c r="A880" s="7" t="s">
        <v>2786</v>
      </c>
      <c r="B880" s="7" t="s">
        <v>1071</v>
      </c>
      <c r="C880" s="5" t="s">
        <v>12</v>
      </c>
      <c r="D880" s="4" t="s">
        <v>20</v>
      </c>
      <c r="E880" s="5" t="s">
        <v>2227</v>
      </c>
      <c r="F880" s="4" t="s">
        <v>2787</v>
      </c>
      <c r="G880" s="9" t="s">
        <v>51</v>
      </c>
      <c r="H880" s="32">
        <v>45496</v>
      </c>
      <c r="I880" s="33">
        <v>45527</v>
      </c>
      <c r="J880" s="4" t="s">
        <v>503</v>
      </c>
      <c r="N880" s="4" t="s">
        <v>73</v>
      </c>
      <c r="O880" s="6">
        <v>45489</v>
      </c>
      <c r="Q880" s="9">
        <f ca="1">IF(P880="",TODAY()-O880,P880-O880)</f>
        <v>80</v>
      </c>
      <c r="S880" s="5" t="s">
        <v>26</v>
      </c>
      <c r="T880" s="4" t="s">
        <v>199</v>
      </c>
      <c r="U880" s="5" t="s">
        <v>30</v>
      </c>
      <c r="V880" s="4">
        <v>1131</v>
      </c>
      <c r="W880" s="5" t="s">
        <v>38</v>
      </c>
      <c r="X880" s="38" t="s">
        <v>2806</v>
      </c>
      <c r="Y880" s="44">
        <v>45496</v>
      </c>
      <c r="Z880" s="7" t="s">
        <v>2807</v>
      </c>
    </row>
    <row r="881" spans="1:26" x14ac:dyDescent="0.25">
      <c r="A881" s="7" t="s">
        <v>2574</v>
      </c>
      <c r="B881" s="7" t="s">
        <v>1071</v>
      </c>
      <c r="C881" s="5" t="s">
        <v>12</v>
      </c>
      <c r="D881" s="4" t="s">
        <v>174</v>
      </c>
      <c r="F881" s="4" t="s">
        <v>2561</v>
      </c>
      <c r="N881" s="4" t="s">
        <v>73</v>
      </c>
      <c r="O881" s="6">
        <v>45493</v>
      </c>
      <c r="Q881" s="9">
        <f ca="1">IF(P881="",TODAY()-O881,P881-O881)</f>
        <v>76</v>
      </c>
      <c r="S881" s="5" t="s">
        <v>121</v>
      </c>
      <c r="T881" s="4" t="s">
        <v>112</v>
      </c>
      <c r="W881" s="5" t="s">
        <v>39</v>
      </c>
    </row>
    <row r="882" spans="1:26" x14ac:dyDescent="0.25">
      <c r="A882" s="7" t="s">
        <v>2575</v>
      </c>
      <c r="B882" s="7" t="s">
        <v>1071</v>
      </c>
      <c r="C882" s="5" t="s">
        <v>12</v>
      </c>
      <c r="D882" s="4" t="s">
        <v>311</v>
      </c>
      <c r="E882" s="5" t="s">
        <v>2227</v>
      </c>
      <c r="F882" s="4" t="s">
        <v>2561</v>
      </c>
      <c r="N882" s="4" t="s">
        <v>73</v>
      </c>
      <c r="O882" s="6">
        <v>45493</v>
      </c>
      <c r="P882" s="11">
        <v>45504</v>
      </c>
      <c r="Q882" s="9">
        <f ca="1">IF(P882="",TODAY()-O882,P882-O882)</f>
        <v>11</v>
      </c>
      <c r="R882" s="4" t="s">
        <v>42</v>
      </c>
      <c r="S882" s="5" t="s">
        <v>121</v>
      </c>
      <c r="T882" s="4" t="s">
        <v>112</v>
      </c>
      <c r="U882" s="5" t="s">
        <v>30</v>
      </c>
      <c r="W882" s="5" t="s">
        <v>39</v>
      </c>
      <c r="Z882" s="7" t="s">
        <v>2595</v>
      </c>
    </row>
    <row r="883" spans="1:26" x14ac:dyDescent="0.25">
      <c r="A883" s="7" t="s">
        <v>2588</v>
      </c>
      <c r="B883" s="7" t="s">
        <v>1071</v>
      </c>
      <c r="C883" s="5" t="s">
        <v>12</v>
      </c>
      <c r="D883" s="4" t="s">
        <v>174</v>
      </c>
      <c r="E883" s="5" t="s">
        <v>25</v>
      </c>
      <c r="F883" s="4" t="s">
        <v>384</v>
      </c>
      <c r="K883" s="6">
        <v>45496</v>
      </c>
      <c r="N883" s="4" t="s">
        <v>73</v>
      </c>
      <c r="O883" s="6">
        <v>45496</v>
      </c>
      <c r="P883" s="11">
        <v>45500</v>
      </c>
      <c r="Q883" s="9">
        <f ca="1">IF(P883="",TODAY()-O883,P883-O883)</f>
        <v>4</v>
      </c>
      <c r="R883" s="4" t="s">
        <v>2039</v>
      </c>
      <c r="S883" s="5" t="s">
        <v>631</v>
      </c>
      <c r="T883" s="4" t="s">
        <v>112</v>
      </c>
      <c r="U883" s="5" t="s">
        <v>29</v>
      </c>
      <c r="V883" s="4">
        <v>1103</v>
      </c>
      <c r="W883" s="5" t="s">
        <v>39</v>
      </c>
    </row>
    <row r="884" spans="1:26" x14ac:dyDescent="0.25">
      <c r="A884" s="7" t="s">
        <v>2580</v>
      </c>
      <c r="B884" s="7" t="s">
        <v>1071</v>
      </c>
      <c r="C884" s="5" t="s">
        <v>12</v>
      </c>
      <c r="D884" s="4" t="s">
        <v>20</v>
      </c>
      <c r="E884" s="5" t="s">
        <v>25</v>
      </c>
      <c r="F884" s="27" t="s">
        <v>2561</v>
      </c>
      <c r="K884" s="6"/>
      <c r="N884" s="4" t="s">
        <v>73</v>
      </c>
      <c r="O884" s="6">
        <v>45497</v>
      </c>
      <c r="Q884" s="9">
        <f ca="1">IF(P884="",TODAY()-O884,P884-O884)</f>
        <v>72</v>
      </c>
      <c r="S884" s="5" t="s">
        <v>26</v>
      </c>
      <c r="T884" s="4" t="s">
        <v>38</v>
      </c>
    </row>
    <row r="885" spans="1:26" x14ac:dyDescent="0.25">
      <c r="A885" s="7" t="s">
        <v>2576</v>
      </c>
      <c r="B885" s="7" t="s">
        <v>1071</v>
      </c>
      <c r="C885" s="5" t="s">
        <v>12</v>
      </c>
      <c r="D885" s="4" t="s">
        <v>174</v>
      </c>
      <c r="F885" s="4" t="s">
        <v>1025</v>
      </c>
      <c r="N885" s="4" t="s">
        <v>73</v>
      </c>
      <c r="O885" s="6">
        <v>45498</v>
      </c>
      <c r="Q885" s="9">
        <f ca="1">IF(P885="",TODAY()-O885,P885-O885)</f>
        <v>71</v>
      </c>
      <c r="S885" s="5" t="s">
        <v>631</v>
      </c>
      <c r="T885" s="4" t="s">
        <v>132</v>
      </c>
      <c r="W885" s="5" t="s">
        <v>39</v>
      </c>
    </row>
    <row r="886" spans="1:26" x14ac:dyDescent="0.25">
      <c r="A886" s="7" t="s">
        <v>2579</v>
      </c>
      <c r="B886" s="7" t="s">
        <v>1071</v>
      </c>
      <c r="C886" s="5" t="s">
        <v>12</v>
      </c>
      <c r="D886" s="4" t="s">
        <v>20</v>
      </c>
      <c r="F886" s="4" t="s">
        <v>1025</v>
      </c>
      <c r="N886" s="4" t="s">
        <v>73</v>
      </c>
      <c r="O886" s="6">
        <v>45498</v>
      </c>
      <c r="Q886" s="9">
        <f ca="1">IF(P886="",TODAY()-O886,P886-O886)</f>
        <v>71</v>
      </c>
      <c r="S886" s="5" t="s">
        <v>631</v>
      </c>
      <c r="T886" s="4" t="s">
        <v>38</v>
      </c>
      <c r="W886" s="5" t="s">
        <v>39</v>
      </c>
    </row>
    <row r="887" spans="1:26" x14ac:dyDescent="0.25">
      <c r="A887" s="7" t="s">
        <v>2577</v>
      </c>
      <c r="B887" s="7" t="s">
        <v>1071</v>
      </c>
      <c r="C887" s="5" t="s">
        <v>12</v>
      </c>
      <c r="D887" s="4" t="s">
        <v>17</v>
      </c>
      <c r="F887" s="4" t="s">
        <v>1025</v>
      </c>
      <c r="N887" s="4" t="s">
        <v>73</v>
      </c>
      <c r="O887" s="6">
        <v>45498</v>
      </c>
      <c r="Q887" s="9">
        <f ca="1">IF(P887="",TODAY()-O887,P887-O887)</f>
        <v>71</v>
      </c>
      <c r="S887" s="5" t="s">
        <v>631</v>
      </c>
      <c r="T887" s="4" t="s">
        <v>132</v>
      </c>
      <c r="W887" s="5" t="s">
        <v>39</v>
      </c>
    </row>
    <row r="888" spans="1:26" x14ac:dyDescent="0.25">
      <c r="A888" s="7" t="s">
        <v>2578</v>
      </c>
      <c r="B888" s="7" t="s">
        <v>1071</v>
      </c>
      <c r="C888" s="5" t="s">
        <v>12</v>
      </c>
      <c r="D888" s="4" t="s">
        <v>174</v>
      </c>
      <c r="F888" s="4" t="s">
        <v>1025</v>
      </c>
      <c r="N888" s="4" t="s">
        <v>73</v>
      </c>
      <c r="O888" s="6">
        <v>45498</v>
      </c>
      <c r="Q888" s="9">
        <f ca="1">IF(P888="",TODAY()-O888,P888-O888)</f>
        <v>71</v>
      </c>
      <c r="S888" s="5" t="s">
        <v>631</v>
      </c>
      <c r="T888" s="4" t="s">
        <v>132</v>
      </c>
      <c r="W888" s="5" t="s">
        <v>39</v>
      </c>
    </row>
    <row r="889" spans="1:26" x14ac:dyDescent="0.25">
      <c r="A889" s="7" t="s">
        <v>2713</v>
      </c>
      <c r="B889" s="7" t="s">
        <v>1071</v>
      </c>
      <c r="C889" s="5" t="s">
        <v>12</v>
      </c>
      <c r="D889" s="4" t="s">
        <v>20</v>
      </c>
      <c r="F889" s="4" t="s">
        <v>1645</v>
      </c>
      <c r="K889" s="6">
        <v>45539</v>
      </c>
      <c r="N889" s="4" t="s">
        <v>73</v>
      </c>
      <c r="O889" s="6">
        <v>45499</v>
      </c>
      <c r="P889" s="11">
        <v>45540</v>
      </c>
      <c r="Q889" s="9">
        <f ca="1">IF(P889="",TODAY()-O889,P889-O889)</f>
        <v>41</v>
      </c>
      <c r="R889" s="4" t="s">
        <v>2039</v>
      </c>
      <c r="S889" s="5" t="s">
        <v>631</v>
      </c>
      <c r="T889" s="4" t="s">
        <v>38</v>
      </c>
      <c r="U889" s="5" t="s">
        <v>31</v>
      </c>
      <c r="W889" s="5" t="s">
        <v>39</v>
      </c>
      <c r="Z889" s="7" t="s">
        <v>2714</v>
      </c>
    </row>
    <row r="890" spans="1:26" x14ac:dyDescent="0.25">
      <c r="A890" s="7" t="s">
        <v>2603</v>
      </c>
      <c r="B890" s="7" t="s">
        <v>1071</v>
      </c>
      <c r="C890" s="5" t="s">
        <v>12</v>
      </c>
      <c r="F890" s="4" t="s">
        <v>384</v>
      </c>
      <c r="L890" s="7" t="s">
        <v>2017</v>
      </c>
      <c r="M890" s="7" t="s">
        <v>2016</v>
      </c>
      <c r="N890" s="4" t="s">
        <v>9</v>
      </c>
      <c r="O890" s="6">
        <v>45499</v>
      </c>
      <c r="P890" s="11">
        <v>45499</v>
      </c>
      <c r="Q890" s="9">
        <f ca="1">IF(P890="",TODAY()-O890,P890-O890)</f>
        <v>0</v>
      </c>
      <c r="R890" s="4" t="s">
        <v>42</v>
      </c>
      <c r="S890" s="5" t="s">
        <v>631</v>
      </c>
      <c r="U890" s="5" t="s">
        <v>30</v>
      </c>
      <c r="W890" s="5" t="s">
        <v>38</v>
      </c>
    </row>
    <row r="891" spans="1:26" x14ac:dyDescent="0.25">
      <c r="A891" s="7" t="s">
        <v>2615</v>
      </c>
      <c r="B891" s="7" t="s">
        <v>1071</v>
      </c>
      <c r="C891" s="5" t="s">
        <v>12</v>
      </c>
      <c r="D891" s="4" t="s">
        <v>14</v>
      </c>
      <c r="E891" s="5" t="s">
        <v>24</v>
      </c>
      <c r="F891" s="4" t="s">
        <v>384</v>
      </c>
      <c r="K891" s="6">
        <v>45502</v>
      </c>
      <c r="L891" s="7" t="s">
        <v>2016</v>
      </c>
      <c r="M891" s="7" t="s">
        <v>2016</v>
      </c>
      <c r="O891" s="6">
        <v>45502</v>
      </c>
      <c r="P891" s="11">
        <v>45502</v>
      </c>
      <c r="Q891" s="9">
        <f ca="1">IF(P891="",TODAY()-O891,P891-O891)</f>
        <v>0</v>
      </c>
      <c r="R891" s="4" t="s">
        <v>2039</v>
      </c>
      <c r="S891" s="5" t="s">
        <v>631</v>
      </c>
      <c r="U891" s="5" t="s">
        <v>31</v>
      </c>
      <c r="W891" s="5" t="s">
        <v>39</v>
      </c>
    </row>
    <row r="892" spans="1:26" x14ac:dyDescent="0.25">
      <c r="A892" s="7" t="s">
        <v>2596</v>
      </c>
      <c r="B892" s="7" t="s">
        <v>1071</v>
      </c>
      <c r="C892" s="5" t="s">
        <v>12</v>
      </c>
      <c r="D892" s="4" t="s">
        <v>17</v>
      </c>
      <c r="E892" s="5" t="s">
        <v>24</v>
      </c>
      <c r="F892" s="4" t="s">
        <v>384</v>
      </c>
      <c r="K892" s="6">
        <v>45503</v>
      </c>
      <c r="L892" s="7" t="s">
        <v>2016</v>
      </c>
      <c r="M892" s="7" t="s">
        <v>2016</v>
      </c>
      <c r="O892" s="6">
        <v>45503</v>
      </c>
      <c r="P892" s="11">
        <v>45503</v>
      </c>
      <c r="Q892" s="9">
        <f ca="1">IF(P892="",TODAY()-O892,P892-O892)</f>
        <v>0</v>
      </c>
      <c r="R892" s="4" t="s">
        <v>2039</v>
      </c>
      <c r="S892" s="5" t="s">
        <v>631</v>
      </c>
      <c r="U892" s="5" t="s">
        <v>31</v>
      </c>
      <c r="W892" s="5" t="s">
        <v>38</v>
      </c>
      <c r="Z892" s="7" t="s">
        <v>2602</v>
      </c>
    </row>
    <row r="893" spans="1:26" x14ac:dyDescent="0.25">
      <c r="A893" s="7" t="s">
        <v>2597</v>
      </c>
      <c r="B893" s="7" t="s">
        <v>1071</v>
      </c>
      <c r="C893" s="5" t="s">
        <v>12</v>
      </c>
      <c r="D893" s="4" t="s">
        <v>16</v>
      </c>
      <c r="E893" s="5" t="s">
        <v>25</v>
      </c>
      <c r="F893" s="4" t="s">
        <v>2457</v>
      </c>
      <c r="K893" s="6">
        <v>45503</v>
      </c>
      <c r="L893" s="7" t="s">
        <v>2016</v>
      </c>
      <c r="M893" s="7" t="s">
        <v>2016</v>
      </c>
      <c r="O893" s="6">
        <v>45503</v>
      </c>
      <c r="P893" s="11">
        <v>45503</v>
      </c>
      <c r="Q893" s="9">
        <f ca="1">IF(P893="",TODAY()-O893,P893-O893)</f>
        <v>0</v>
      </c>
      <c r="R893" s="4" t="s">
        <v>2039</v>
      </c>
      <c r="S893" s="5" t="s">
        <v>631</v>
      </c>
      <c r="U893" s="5" t="s">
        <v>31</v>
      </c>
      <c r="W893" s="5" t="s">
        <v>38</v>
      </c>
      <c r="Z893" s="7" t="s">
        <v>2602</v>
      </c>
    </row>
    <row r="894" spans="1:26" x14ac:dyDescent="0.25">
      <c r="A894" s="7" t="s">
        <v>2600</v>
      </c>
      <c r="B894" s="7" t="s">
        <v>1071</v>
      </c>
      <c r="C894" s="5" t="s">
        <v>12</v>
      </c>
      <c r="E894" s="5" t="s">
        <v>25</v>
      </c>
      <c r="F894" s="4" t="s">
        <v>384</v>
      </c>
      <c r="K894" s="6">
        <v>45503</v>
      </c>
      <c r="O894" s="6">
        <v>45503</v>
      </c>
      <c r="P894" s="11">
        <v>45503</v>
      </c>
      <c r="Q894" s="9">
        <f ca="1">IF(P894="",TODAY()-O894,P894-O894)</f>
        <v>0</v>
      </c>
      <c r="R894" s="4" t="s">
        <v>2039</v>
      </c>
      <c r="S894" s="5" t="s">
        <v>631</v>
      </c>
      <c r="U894" s="5" t="s">
        <v>33</v>
      </c>
      <c r="W894" s="5" t="s">
        <v>38</v>
      </c>
    </row>
    <row r="895" spans="1:26" x14ac:dyDescent="0.25">
      <c r="A895" s="7" t="s">
        <v>2604</v>
      </c>
      <c r="B895" s="7" t="s">
        <v>1071</v>
      </c>
      <c r="C895" s="5" t="s">
        <v>12</v>
      </c>
      <c r="D895" s="4" t="s">
        <v>713</v>
      </c>
      <c r="F895" s="4" t="s">
        <v>2608</v>
      </c>
      <c r="N895" s="4" t="s">
        <v>73</v>
      </c>
      <c r="O895" s="6">
        <v>45503</v>
      </c>
      <c r="Q895" s="9">
        <f ca="1">IF(P895="",TODAY()-O895,P895-O895)</f>
        <v>66</v>
      </c>
      <c r="S895" s="5" t="s">
        <v>26</v>
      </c>
      <c r="T895" s="4" t="s">
        <v>38</v>
      </c>
      <c r="W895" s="5" t="s">
        <v>39</v>
      </c>
    </row>
    <row r="896" spans="1:26" x14ac:dyDescent="0.25">
      <c r="A896" s="7" t="s">
        <v>2605</v>
      </c>
      <c r="B896" s="7" t="s">
        <v>1071</v>
      </c>
      <c r="C896" s="5" t="s">
        <v>12</v>
      </c>
      <c r="D896" s="4" t="s">
        <v>17</v>
      </c>
      <c r="F896" s="4" t="s">
        <v>2608</v>
      </c>
      <c r="H896" s="4"/>
      <c r="N896" s="4" t="s">
        <v>73</v>
      </c>
      <c r="O896" s="6">
        <v>45503</v>
      </c>
      <c r="Q896" s="9">
        <f ca="1">IF(P896="",TODAY()-O896,P896-O896)</f>
        <v>66</v>
      </c>
      <c r="S896" s="5" t="s">
        <v>26</v>
      </c>
      <c r="T896" s="4" t="s">
        <v>38</v>
      </c>
      <c r="W896" s="5" t="s">
        <v>39</v>
      </c>
    </row>
    <row r="897" spans="1:27" x14ac:dyDescent="0.25">
      <c r="A897" s="7" t="s">
        <v>2606</v>
      </c>
      <c r="B897" s="7" t="s">
        <v>1071</v>
      </c>
      <c r="C897" s="5" t="s">
        <v>12</v>
      </c>
      <c r="D897" s="4" t="s">
        <v>17</v>
      </c>
      <c r="F897" s="4" t="s">
        <v>2608</v>
      </c>
      <c r="N897" s="4" t="s">
        <v>73</v>
      </c>
      <c r="O897" s="6">
        <v>45503</v>
      </c>
      <c r="Q897" s="9">
        <f ca="1">IF(P897="",TODAY()-O897,P897-O897)</f>
        <v>66</v>
      </c>
      <c r="S897" s="5" t="s">
        <v>26</v>
      </c>
      <c r="T897" s="4" t="s">
        <v>38</v>
      </c>
      <c r="W897" s="5" t="s">
        <v>39</v>
      </c>
    </row>
    <row r="898" spans="1:27" x14ac:dyDescent="0.25">
      <c r="A898" s="7" t="s">
        <v>2607</v>
      </c>
      <c r="B898" s="7" t="s">
        <v>1071</v>
      </c>
      <c r="C898" s="5" t="s">
        <v>12</v>
      </c>
      <c r="D898" s="4" t="s">
        <v>20</v>
      </c>
      <c r="F898" s="4" t="s">
        <v>2608</v>
      </c>
      <c r="N898" s="4" t="s">
        <v>73</v>
      </c>
      <c r="O898" s="6">
        <v>45503</v>
      </c>
      <c r="Q898" s="9">
        <f ca="1">IF(P898="",TODAY()-O898,P898-O898)</f>
        <v>66</v>
      </c>
      <c r="S898" s="5" t="s">
        <v>26</v>
      </c>
      <c r="T898" s="4" t="s">
        <v>38</v>
      </c>
      <c r="W898" s="5" t="s">
        <v>39</v>
      </c>
    </row>
    <row r="899" spans="1:27" x14ac:dyDescent="0.25">
      <c r="A899" s="7" t="s">
        <v>2601</v>
      </c>
      <c r="B899" s="7" t="s">
        <v>1071</v>
      </c>
      <c r="C899" s="5" t="s">
        <v>12</v>
      </c>
      <c r="D899" s="4" t="s">
        <v>14</v>
      </c>
      <c r="E899" s="5" t="s">
        <v>2227</v>
      </c>
      <c r="F899" s="4" t="s">
        <v>384</v>
      </c>
      <c r="L899" s="7" t="s">
        <v>2017</v>
      </c>
      <c r="M899" s="7" t="s">
        <v>2016</v>
      </c>
      <c r="N899" s="4" t="s">
        <v>9</v>
      </c>
      <c r="O899" s="6">
        <v>45504</v>
      </c>
      <c r="P899" s="11">
        <v>45504</v>
      </c>
      <c r="Q899" s="9">
        <f ca="1">IF(P899="",TODAY()-O899,P899-O899)</f>
        <v>0</v>
      </c>
      <c r="R899" s="4" t="s">
        <v>42</v>
      </c>
      <c r="S899" s="5" t="s">
        <v>631</v>
      </c>
      <c r="U899" s="5" t="s">
        <v>31</v>
      </c>
      <c r="W899" s="5" t="s">
        <v>38</v>
      </c>
    </row>
    <row r="900" spans="1:27" x14ac:dyDescent="0.25">
      <c r="A900" s="7" t="s">
        <v>2626</v>
      </c>
      <c r="B900" s="7" t="s">
        <v>1071</v>
      </c>
      <c r="C900" s="5" t="s">
        <v>12</v>
      </c>
      <c r="D900" s="4" t="s">
        <v>16</v>
      </c>
      <c r="E900" s="5" t="s">
        <v>24</v>
      </c>
      <c r="F900" s="4" t="s">
        <v>870</v>
      </c>
      <c r="K900" s="6">
        <v>45506</v>
      </c>
      <c r="N900" s="4" t="s">
        <v>73</v>
      </c>
      <c r="O900" s="6">
        <v>45506</v>
      </c>
      <c r="Q900" s="9">
        <f ca="1">IF(P900="",TODAY()-O900,P900-O900)</f>
        <v>63</v>
      </c>
      <c r="S900" s="5" t="s">
        <v>1739</v>
      </c>
      <c r="U900" s="5" t="s">
        <v>29</v>
      </c>
      <c r="V900" s="4">
        <v>1108</v>
      </c>
      <c r="W900" s="5" t="s">
        <v>39</v>
      </c>
      <c r="Y900" s="44">
        <v>45506</v>
      </c>
      <c r="Z900" s="7" t="s">
        <v>2627</v>
      </c>
    </row>
    <row r="901" spans="1:27" x14ac:dyDescent="0.25">
      <c r="A901" s="7" t="s">
        <v>2625</v>
      </c>
      <c r="B901" s="7" t="s">
        <v>1071</v>
      </c>
      <c r="C901" s="5" t="s">
        <v>12</v>
      </c>
      <c r="D901" s="4" t="s">
        <v>127</v>
      </c>
      <c r="E901" s="5" t="s">
        <v>2227</v>
      </c>
      <c r="F901" s="4" t="s">
        <v>1025</v>
      </c>
      <c r="N901" s="4" t="s">
        <v>73</v>
      </c>
      <c r="O901" s="6">
        <v>45510</v>
      </c>
      <c r="Q901" s="9">
        <f ca="1">IF(P901="",TODAY()-O901,P901-O901)</f>
        <v>59</v>
      </c>
      <c r="S901" s="5" t="s">
        <v>26</v>
      </c>
      <c r="T901" s="4" t="s">
        <v>38</v>
      </c>
      <c r="W901" s="5" t="s">
        <v>39</v>
      </c>
    </row>
    <row r="902" spans="1:27" ht="30" x14ac:dyDescent="0.25">
      <c r="A902" s="28" t="s">
        <v>2638</v>
      </c>
      <c r="B902" s="28" t="s">
        <v>1071</v>
      </c>
      <c r="C902" s="14" t="s">
        <v>12</v>
      </c>
      <c r="D902" s="13" t="s">
        <v>17</v>
      </c>
      <c r="E902" s="14" t="s">
        <v>24</v>
      </c>
      <c r="F902" s="13" t="s">
        <v>384</v>
      </c>
      <c r="G902" s="15" t="s">
        <v>50</v>
      </c>
      <c r="H902" s="31"/>
      <c r="I902" s="15"/>
      <c r="J902" s="13"/>
      <c r="K902" s="14"/>
      <c r="L902" s="28"/>
      <c r="M902" s="28"/>
      <c r="N902" s="13" t="s">
        <v>73</v>
      </c>
      <c r="O902" s="16">
        <v>45516</v>
      </c>
      <c r="P902" s="13"/>
      <c r="Q902" s="9">
        <f ca="1">IF(P902="",TODAY()-O902,P902-O902)</f>
        <v>53</v>
      </c>
      <c r="R902" s="13"/>
      <c r="S902" s="14" t="s">
        <v>26</v>
      </c>
      <c r="T902" s="13" t="s">
        <v>2644</v>
      </c>
      <c r="U902" s="14" t="s">
        <v>31</v>
      </c>
      <c r="V902" s="13"/>
      <c r="W902" s="14" t="s">
        <v>39</v>
      </c>
      <c r="X902" s="39"/>
      <c r="Y902" s="43"/>
      <c r="Z902" s="17" t="s">
        <v>2637</v>
      </c>
      <c r="AA902" s="13"/>
    </row>
    <row r="903" spans="1:27" x14ac:dyDescent="0.25">
      <c r="B903" s="7" t="s">
        <v>1071</v>
      </c>
      <c r="C903" s="5" t="s">
        <v>12</v>
      </c>
      <c r="D903" s="4" t="s">
        <v>17</v>
      </c>
      <c r="E903" s="5" t="s">
        <v>2228</v>
      </c>
      <c r="F903" s="4" t="s">
        <v>494</v>
      </c>
      <c r="N903" s="4" t="s">
        <v>73</v>
      </c>
      <c r="O903" s="6">
        <v>45516</v>
      </c>
      <c r="Q903" s="9">
        <f ca="1">IF(P903="",TODAY()-O903,P903-O903)</f>
        <v>53</v>
      </c>
      <c r="S903" s="5" t="s">
        <v>26</v>
      </c>
      <c r="T903" s="4" t="s">
        <v>38</v>
      </c>
    </row>
    <row r="904" spans="1:27" x14ac:dyDescent="0.25">
      <c r="A904" s="7" t="s">
        <v>2650</v>
      </c>
      <c r="B904" s="7" t="s">
        <v>1071</v>
      </c>
      <c r="C904" s="5" t="s">
        <v>12</v>
      </c>
      <c r="D904" s="4" t="s">
        <v>17</v>
      </c>
      <c r="E904" s="5" t="s">
        <v>2228</v>
      </c>
      <c r="F904" s="4" t="s">
        <v>384</v>
      </c>
      <c r="O904" s="6">
        <v>45518</v>
      </c>
      <c r="P904" s="11">
        <v>45518</v>
      </c>
      <c r="Q904" s="9">
        <f ca="1">IF(P904="",TODAY()-O904,P904-O904)</f>
        <v>0</v>
      </c>
      <c r="R904" s="4" t="s">
        <v>42</v>
      </c>
      <c r="S904" s="5" t="s">
        <v>26</v>
      </c>
      <c r="U904" s="5" t="s">
        <v>30</v>
      </c>
      <c r="W904" s="5" t="s">
        <v>112</v>
      </c>
      <c r="Z904" s="7" t="s">
        <v>2649</v>
      </c>
    </row>
    <row r="905" spans="1:27" x14ac:dyDescent="0.25">
      <c r="A905" s="7" t="s">
        <v>2651</v>
      </c>
      <c r="B905" s="7" t="s">
        <v>1071</v>
      </c>
      <c r="C905" s="5" t="s">
        <v>12</v>
      </c>
      <c r="D905" s="4" t="s">
        <v>17</v>
      </c>
      <c r="E905" s="5" t="s">
        <v>2227</v>
      </c>
      <c r="F905" s="4" t="s">
        <v>494</v>
      </c>
      <c r="N905" s="4" t="s">
        <v>73</v>
      </c>
      <c r="O905" s="6">
        <v>45518</v>
      </c>
      <c r="Q905" s="9">
        <f ca="1">IF(P905="",TODAY()-O905,P905-O905)</f>
        <v>51</v>
      </c>
      <c r="S905" s="5" t="s">
        <v>26</v>
      </c>
      <c r="T905" s="4" t="s">
        <v>38</v>
      </c>
    </row>
    <row r="906" spans="1:27" x14ac:dyDescent="0.25">
      <c r="A906" s="7" t="s">
        <v>2697</v>
      </c>
      <c r="B906" s="7" t="s">
        <v>1071</v>
      </c>
      <c r="C906" s="5" t="s">
        <v>12</v>
      </c>
      <c r="E906" s="5" t="s">
        <v>2227</v>
      </c>
      <c r="F906" s="4" t="s">
        <v>902</v>
      </c>
      <c r="N906" s="4" t="s">
        <v>73</v>
      </c>
      <c r="O906" s="6">
        <v>45520</v>
      </c>
      <c r="P906" s="11">
        <v>45537</v>
      </c>
      <c r="Q906" s="9">
        <f ca="1">IF(P906="",TODAY()-O906,P906-O906)</f>
        <v>17</v>
      </c>
      <c r="R906" s="4" t="s">
        <v>42</v>
      </c>
      <c r="S906" s="5" t="s">
        <v>27</v>
      </c>
      <c r="T906" s="4" t="s">
        <v>38</v>
      </c>
      <c r="U906" s="5" t="s">
        <v>30</v>
      </c>
      <c r="W906" s="5" t="s">
        <v>38</v>
      </c>
    </row>
    <row r="907" spans="1:27" x14ac:dyDescent="0.25">
      <c r="A907" s="7" t="s">
        <v>2735</v>
      </c>
      <c r="B907" s="7" t="s">
        <v>1071</v>
      </c>
      <c r="C907" s="5" t="s">
        <v>12</v>
      </c>
      <c r="D907" s="4" t="s">
        <v>17</v>
      </c>
      <c r="E907" s="5" t="s">
        <v>25</v>
      </c>
      <c r="F907" s="4" t="s">
        <v>2216</v>
      </c>
      <c r="G907" s="9" t="s">
        <v>51</v>
      </c>
      <c r="O907" s="6">
        <v>45522</v>
      </c>
      <c r="P907" s="11">
        <v>45522</v>
      </c>
      <c r="Q907" s="9">
        <f ca="1">IF(P907="",TODAY()-O907,P907-O907)</f>
        <v>0</v>
      </c>
      <c r="R907" s="4" t="s">
        <v>41</v>
      </c>
      <c r="S907" s="5" t="s">
        <v>27</v>
      </c>
      <c r="W907" s="5" t="s">
        <v>112</v>
      </c>
      <c r="Z907" s="7" t="s">
        <v>2737</v>
      </c>
    </row>
    <row r="908" spans="1:27" x14ac:dyDescent="0.25">
      <c r="A908" s="7" t="s">
        <v>2736</v>
      </c>
      <c r="B908" s="7" t="s">
        <v>1071</v>
      </c>
      <c r="C908" s="5" t="s">
        <v>12</v>
      </c>
      <c r="D908" s="4" t="s">
        <v>20</v>
      </c>
      <c r="E908" s="5" t="s">
        <v>24</v>
      </c>
      <c r="F908" s="4" t="s">
        <v>2216</v>
      </c>
      <c r="G908" s="9" t="s">
        <v>51</v>
      </c>
      <c r="O908" s="6">
        <v>45522</v>
      </c>
      <c r="P908" s="11">
        <v>45522</v>
      </c>
      <c r="Q908" s="9">
        <f ca="1">IF(P908="",TODAY()-O908,P908-O908)</f>
        <v>0</v>
      </c>
      <c r="R908" s="4" t="s">
        <v>41</v>
      </c>
      <c r="S908" s="5" t="s">
        <v>27</v>
      </c>
      <c r="W908" s="5" t="s">
        <v>112</v>
      </c>
      <c r="Z908" s="7" t="s">
        <v>2737</v>
      </c>
    </row>
    <row r="909" spans="1:27" x14ac:dyDescent="0.25">
      <c r="A909" s="7" t="s">
        <v>2666</v>
      </c>
      <c r="B909" s="7" t="s">
        <v>1071</v>
      </c>
      <c r="C909" s="5" t="s">
        <v>12</v>
      </c>
      <c r="D909" s="4" t="s">
        <v>17</v>
      </c>
      <c r="E909" s="5" t="s">
        <v>2228</v>
      </c>
      <c r="F909" s="4" t="s">
        <v>553</v>
      </c>
      <c r="N909" s="4" t="s">
        <v>73</v>
      </c>
      <c r="O909" s="6">
        <v>45523</v>
      </c>
      <c r="P909" s="11">
        <v>45533</v>
      </c>
      <c r="Q909" s="9">
        <f ca="1">IF(P909="",TODAY()-O909,P909-O909)</f>
        <v>10</v>
      </c>
      <c r="R909" s="4" t="s">
        <v>431</v>
      </c>
      <c r="S909" s="5" t="s">
        <v>26</v>
      </c>
      <c r="T909" s="4" t="s">
        <v>38</v>
      </c>
      <c r="U909" s="5" t="s">
        <v>30</v>
      </c>
      <c r="Z909" s="7" t="s">
        <v>2667</v>
      </c>
    </row>
    <row r="910" spans="1:27" x14ac:dyDescent="0.25">
      <c r="A910" s="7" t="s">
        <v>2705</v>
      </c>
      <c r="B910" s="7" t="s">
        <v>1071</v>
      </c>
      <c r="C910" s="5" t="s">
        <v>12</v>
      </c>
      <c r="D910" s="4" t="s">
        <v>17</v>
      </c>
      <c r="E910" s="5" t="s">
        <v>2228</v>
      </c>
      <c r="N910" s="4" t="s">
        <v>73</v>
      </c>
      <c r="O910" s="6">
        <v>45525</v>
      </c>
      <c r="Q910" s="9">
        <f ca="1">IF(P910="",TODAY()-O910,P910-O910)</f>
        <v>44</v>
      </c>
      <c r="S910" s="5" t="s">
        <v>26</v>
      </c>
      <c r="T910" s="4" t="s">
        <v>2378</v>
      </c>
      <c r="U910" s="5" t="s">
        <v>29</v>
      </c>
      <c r="V910" s="4">
        <v>1114</v>
      </c>
    </row>
    <row r="911" spans="1:27" s="13" customFormat="1" ht="27" customHeight="1" x14ac:dyDescent="0.25">
      <c r="A911" s="7" t="s">
        <v>2672</v>
      </c>
      <c r="B911" s="7" t="s">
        <v>1071</v>
      </c>
      <c r="C911" s="5" t="s">
        <v>12</v>
      </c>
      <c r="D911" s="4" t="s">
        <v>17</v>
      </c>
      <c r="E911" s="5"/>
      <c r="F911" s="4" t="s">
        <v>943</v>
      </c>
      <c r="G911" s="9"/>
      <c r="H911" s="30"/>
      <c r="I911" s="9"/>
      <c r="J911" s="4"/>
      <c r="K911" s="5"/>
      <c r="L911" s="7"/>
      <c r="M911" s="7"/>
      <c r="N911" s="4" t="s">
        <v>73</v>
      </c>
      <c r="O911" s="6">
        <v>45528</v>
      </c>
      <c r="P911" s="11">
        <v>45535</v>
      </c>
      <c r="Q911" s="9">
        <f ca="1">IF(P911="",TODAY()-O911,P911-O911)</f>
        <v>7</v>
      </c>
      <c r="R911" s="4" t="s">
        <v>42</v>
      </c>
      <c r="S911" s="5" t="s">
        <v>121</v>
      </c>
      <c r="T911" s="4" t="s">
        <v>38</v>
      </c>
      <c r="U911" s="5"/>
      <c r="V911" s="4"/>
      <c r="W911" s="5"/>
      <c r="X911" s="38"/>
      <c r="Y911" s="42"/>
      <c r="Z911" s="7"/>
      <c r="AA911" s="4"/>
    </row>
    <row r="912" spans="1:27" x14ac:dyDescent="0.25">
      <c r="A912" s="7" t="s">
        <v>2686</v>
      </c>
      <c r="B912" s="7" t="s">
        <v>1071</v>
      </c>
      <c r="C912" s="5" t="s">
        <v>12</v>
      </c>
      <c r="D912" s="4" t="s">
        <v>17</v>
      </c>
      <c r="F912" s="4" t="s">
        <v>943</v>
      </c>
      <c r="N912" s="4" t="s">
        <v>73</v>
      </c>
      <c r="O912" s="6">
        <v>45528</v>
      </c>
      <c r="P912" s="11">
        <v>49190</v>
      </c>
      <c r="Q912" s="9">
        <f ca="1">IF(P912="",TODAY()-O912,P912-O912)</f>
        <v>3662</v>
      </c>
      <c r="R912" s="4" t="s">
        <v>43</v>
      </c>
      <c r="S912" s="5" t="s">
        <v>121</v>
      </c>
      <c r="T912" s="4" t="s">
        <v>38</v>
      </c>
    </row>
    <row r="913" spans="1:26" x14ac:dyDescent="0.25">
      <c r="A913" s="7" t="s">
        <v>2687</v>
      </c>
      <c r="B913" s="7" t="s">
        <v>1071</v>
      </c>
      <c r="C913" s="5" t="s">
        <v>12</v>
      </c>
      <c r="D913" s="4" t="s">
        <v>17</v>
      </c>
      <c r="F913" s="4" t="s">
        <v>943</v>
      </c>
      <c r="N913" s="4" t="s">
        <v>73</v>
      </c>
      <c r="O913" s="6">
        <v>45528</v>
      </c>
      <c r="P913" s="11">
        <v>45539</v>
      </c>
      <c r="Q913" s="9">
        <f ca="1">IF(P913="",TODAY()-O913,P913-O913)</f>
        <v>11</v>
      </c>
      <c r="R913" s="4" t="s">
        <v>42</v>
      </c>
      <c r="S913" s="5" t="s">
        <v>121</v>
      </c>
      <c r="T913" s="4" t="s">
        <v>38</v>
      </c>
    </row>
    <row r="914" spans="1:26" x14ac:dyDescent="0.25">
      <c r="A914" s="7" t="s">
        <v>2688</v>
      </c>
      <c r="B914" s="7" t="s">
        <v>1071</v>
      </c>
      <c r="C914" s="5" t="s">
        <v>12</v>
      </c>
      <c r="D914" s="4" t="s">
        <v>17</v>
      </c>
      <c r="F914" s="4" t="s">
        <v>943</v>
      </c>
      <c r="N914" s="4" t="s">
        <v>73</v>
      </c>
      <c r="O914" s="6">
        <v>45528</v>
      </c>
      <c r="P914" s="11">
        <v>45539</v>
      </c>
      <c r="Q914" s="9">
        <f ca="1">IF(P914="",TODAY()-O914,P914-O914)</f>
        <v>11</v>
      </c>
      <c r="R914" s="4" t="s">
        <v>42</v>
      </c>
      <c r="S914" s="5" t="s">
        <v>121</v>
      </c>
      <c r="T914" s="4" t="s">
        <v>38</v>
      </c>
    </row>
    <row r="915" spans="1:26" x14ac:dyDescent="0.25">
      <c r="A915" s="7" t="s">
        <v>2689</v>
      </c>
      <c r="B915" s="7" t="s">
        <v>1071</v>
      </c>
      <c r="C915" s="5" t="s">
        <v>12</v>
      </c>
      <c r="D915" s="4" t="s">
        <v>20</v>
      </c>
      <c r="F915" s="4" t="s">
        <v>943</v>
      </c>
      <c r="N915" s="4" t="s">
        <v>73</v>
      </c>
      <c r="O915" s="6">
        <v>45528</v>
      </c>
      <c r="Q915" s="9">
        <f ca="1">IF(P915="",TODAY()-O915,P915-O915)</f>
        <v>41</v>
      </c>
      <c r="S915" s="5" t="s">
        <v>121</v>
      </c>
      <c r="T915" s="4" t="s">
        <v>38</v>
      </c>
    </row>
    <row r="916" spans="1:26" x14ac:dyDescent="0.25">
      <c r="A916" s="7" t="s">
        <v>2675</v>
      </c>
      <c r="B916" s="7" t="s">
        <v>1071</v>
      </c>
      <c r="C916" s="5" t="s">
        <v>12</v>
      </c>
      <c r="D916" s="4" t="s">
        <v>16</v>
      </c>
      <c r="F916" s="4" t="s">
        <v>2676</v>
      </c>
      <c r="N916" s="4" t="s">
        <v>73</v>
      </c>
      <c r="O916" s="6">
        <v>45528</v>
      </c>
      <c r="P916" s="11">
        <v>45530</v>
      </c>
      <c r="Q916" s="9">
        <f ca="1">IF(P916="",TODAY()-O916,P916-O916)</f>
        <v>2</v>
      </c>
      <c r="R916" s="4" t="s">
        <v>43</v>
      </c>
      <c r="S916" s="5" t="s">
        <v>121</v>
      </c>
      <c r="T916" s="4" t="s">
        <v>38</v>
      </c>
      <c r="U916" s="5" t="s">
        <v>29</v>
      </c>
      <c r="W916" s="5" t="s">
        <v>39</v>
      </c>
    </row>
    <row r="917" spans="1:26" x14ac:dyDescent="0.25">
      <c r="A917" s="7" t="s">
        <v>2698</v>
      </c>
      <c r="B917" s="7" t="s">
        <v>1071</v>
      </c>
      <c r="C917" s="5" t="s">
        <v>12</v>
      </c>
      <c r="D917" s="4" t="s">
        <v>15</v>
      </c>
      <c r="E917" s="5" t="s">
        <v>2227</v>
      </c>
      <c r="F917" s="4" t="s">
        <v>583</v>
      </c>
      <c r="N917" s="4" t="s">
        <v>73</v>
      </c>
      <c r="O917" s="6">
        <v>45528</v>
      </c>
      <c r="Q917" s="9">
        <f ca="1">IF(P917="",TODAY()-O917,P917-O917)</f>
        <v>41</v>
      </c>
      <c r="S917" s="5" t="s">
        <v>27</v>
      </c>
      <c r="T917" s="4" t="s">
        <v>112</v>
      </c>
    </row>
    <row r="918" spans="1:26" x14ac:dyDescent="0.25">
      <c r="A918" s="7" t="s">
        <v>2699</v>
      </c>
      <c r="B918" s="7" t="s">
        <v>1071</v>
      </c>
      <c r="C918" s="5" t="s">
        <v>12</v>
      </c>
      <c r="D918" s="4" t="s">
        <v>15</v>
      </c>
      <c r="E918" s="5" t="s">
        <v>2227</v>
      </c>
      <c r="F918" s="4" t="s">
        <v>583</v>
      </c>
      <c r="N918" s="4" t="s">
        <v>73</v>
      </c>
      <c r="O918" s="6">
        <v>45528</v>
      </c>
      <c r="Q918" s="9">
        <f ca="1">IF(P918="",TODAY()-O918,P918-O918)</f>
        <v>41</v>
      </c>
      <c r="S918" s="5" t="s">
        <v>27</v>
      </c>
      <c r="T918" s="4" t="s">
        <v>112</v>
      </c>
    </row>
    <row r="919" spans="1:26" x14ac:dyDescent="0.25">
      <c r="A919" s="7" t="s">
        <v>2700</v>
      </c>
      <c r="B919" s="7" t="s">
        <v>1071</v>
      </c>
      <c r="C919" s="5" t="s">
        <v>12</v>
      </c>
      <c r="D919" s="4" t="s">
        <v>17</v>
      </c>
      <c r="E919" s="5" t="s">
        <v>2228</v>
      </c>
      <c r="F919" s="4" t="s">
        <v>583</v>
      </c>
      <c r="N919" s="4" t="s">
        <v>73</v>
      </c>
      <c r="O919" s="6">
        <v>45528</v>
      </c>
      <c r="Q919" s="9">
        <f ca="1">IF(P919="",TODAY()-O919,P919-O919)</f>
        <v>41</v>
      </c>
      <c r="S919" s="5" t="s">
        <v>27</v>
      </c>
      <c r="T919" s="4" t="s">
        <v>112</v>
      </c>
    </row>
    <row r="920" spans="1:26" x14ac:dyDescent="0.25">
      <c r="A920" s="7" t="s">
        <v>2701</v>
      </c>
      <c r="B920" s="7" t="s">
        <v>1071</v>
      </c>
      <c r="C920" s="5" t="s">
        <v>12</v>
      </c>
      <c r="D920" s="4" t="s">
        <v>19</v>
      </c>
      <c r="E920" s="5" t="s">
        <v>2227</v>
      </c>
      <c r="F920" s="4" t="s">
        <v>583</v>
      </c>
      <c r="N920" s="4" t="s">
        <v>73</v>
      </c>
      <c r="O920" s="6">
        <v>45528</v>
      </c>
      <c r="Q920" s="9">
        <f ca="1">IF(P920="",TODAY()-O920,P920-O920)</f>
        <v>41</v>
      </c>
      <c r="S920" s="5" t="s">
        <v>26</v>
      </c>
      <c r="T920" s="4" t="s">
        <v>112</v>
      </c>
    </row>
    <row r="921" spans="1:26" x14ac:dyDescent="0.25">
      <c r="A921" s="7" t="s">
        <v>2702</v>
      </c>
      <c r="B921" s="7" t="s">
        <v>1071</v>
      </c>
      <c r="C921" s="5" t="s">
        <v>12</v>
      </c>
      <c r="D921" s="4" t="s">
        <v>311</v>
      </c>
      <c r="E921" s="5" t="s">
        <v>25</v>
      </c>
      <c r="F921" s="4" t="s">
        <v>2703</v>
      </c>
      <c r="N921" s="4" t="s">
        <v>73</v>
      </c>
      <c r="O921" s="6">
        <v>45532</v>
      </c>
      <c r="Q921" s="9">
        <f ca="1">IF(P921="",TODAY()-O921,P921-O921)</f>
        <v>37</v>
      </c>
      <c r="S921" s="5" t="s">
        <v>27</v>
      </c>
      <c r="T921" s="4" t="s">
        <v>809</v>
      </c>
      <c r="U921" s="5" t="s">
        <v>29</v>
      </c>
      <c r="W921" s="5" t="s">
        <v>39</v>
      </c>
      <c r="Z921" s="7" t="s">
        <v>2704</v>
      </c>
    </row>
    <row r="922" spans="1:26" x14ac:dyDescent="0.25">
      <c r="A922" s="7" t="s">
        <v>2673</v>
      </c>
      <c r="B922" s="7" t="s">
        <v>1071</v>
      </c>
      <c r="C922" s="5" t="s">
        <v>12</v>
      </c>
      <c r="D922" s="4" t="s">
        <v>17</v>
      </c>
      <c r="E922" s="5" t="s">
        <v>2228</v>
      </c>
      <c r="F922" s="4" t="s">
        <v>902</v>
      </c>
      <c r="N922" s="4" t="s">
        <v>73</v>
      </c>
      <c r="O922" s="6">
        <v>45534</v>
      </c>
      <c r="Q922" s="9">
        <f ca="1">IF(P922="",TODAY()-O922,P922-O922)</f>
        <v>35</v>
      </c>
      <c r="S922" s="5" t="s">
        <v>26</v>
      </c>
      <c r="T922" s="4" t="s">
        <v>38</v>
      </c>
      <c r="U922" s="5" t="s">
        <v>30</v>
      </c>
      <c r="Z922" s="7" t="s">
        <v>2674</v>
      </c>
    </row>
    <row r="923" spans="1:26" x14ac:dyDescent="0.25">
      <c r="A923" s="7" t="s">
        <v>2692</v>
      </c>
      <c r="B923" s="7" t="s">
        <v>1071</v>
      </c>
      <c r="C923" s="5" t="s">
        <v>12</v>
      </c>
      <c r="D923" s="4" t="s">
        <v>15</v>
      </c>
      <c r="E923" s="5" t="s">
        <v>2227</v>
      </c>
      <c r="F923" s="4" t="s">
        <v>2685</v>
      </c>
      <c r="G923" s="9" t="s">
        <v>50</v>
      </c>
      <c r="H923" s="32">
        <v>45555</v>
      </c>
      <c r="N923" s="4" t="s">
        <v>73</v>
      </c>
      <c r="O923" s="6">
        <v>45538</v>
      </c>
      <c r="Q923" s="9">
        <f ca="1">IF(P923="",TODAY()-O923,P923-O923)</f>
        <v>31</v>
      </c>
      <c r="S923" s="5" t="s">
        <v>27</v>
      </c>
      <c r="T923" s="4" t="s">
        <v>2378</v>
      </c>
      <c r="U923" s="5" t="s">
        <v>29</v>
      </c>
      <c r="V923" s="4">
        <v>1123</v>
      </c>
      <c r="W923" s="5" t="s">
        <v>39</v>
      </c>
      <c r="Y923" s="44">
        <v>45555</v>
      </c>
      <c r="Z923" s="7" t="s">
        <v>2691</v>
      </c>
    </row>
    <row r="924" spans="1:26" x14ac:dyDescent="0.25">
      <c r="A924" s="7" t="s">
        <v>2693</v>
      </c>
      <c r="B924" s="7" t="s">
        <v>1071</v>
      </c>
      <c r="C924" s="5" t="s">
        <v>12</v>
      </c>
      <c r="D924" s="4" t="s">
        <v>15</v>
      </c>
      <c r="E924" s="5" t="s">
        <v>2227</v>
      </c>
      <c r="F924" s="4" t="s">
        <v>2685</v>
      </c>
      <c r="G924" s="9" t="s">
        <v>50</v>
      </c>
      <c r="H924" s="32">
        <v>45555</v>
      </c>
      <c r="N924" s="4" t="s">
        <v>73</v>
      </c>
      <c r="O924" s="6">
        <v>45538</v>
      </c>
      <c r="Q924" s="9">
        <f ca="1">IF(P924="",TODAY()-O924,P924-O924)</f>
        <v>31</v>
      </c>
      <c r="S924" s="5" t="s">
        <v>27</v>
      </c>
      <c r="T924" s="4" t="s">
        <v>2378</v>
      </c>
      <c r="U924" s="5" t="s">
        <v>29</v>
      </c>
      <c r="V924" s="4">
        <v>1124</v>
      </c>
      <c r="W924" s="5" t="s">
        <v>39</v>
      </c>
      <c r="Y924" s="44">
        <v>45555</v>
      </c>
      <c r="Z924" s="7" t="s">
        <v>2691</v>
      </c>
    </row>
    <row r="925" spans="1:26" x14ac:dyDescent="0.25">
      <c r="A925" s="7" t="s">
        <v>2726</v>
      </c>
      <c r="B925" s="7" t="s">
        <v>1071</v>
      </c>
      <c r="C925" s="5" t="s">
        <v>12</v>
      </c>
      <c r="D925" s="4" t="s">
        <v>16</v>
      </c>
      <c r="E925" s="5" t="s">
        <v>2227</v>
      </c>
      <c r="F925" s="4" t="s">
        <v>384</v>
      </c>
      <c r="N925" s="4" t="s">
        <v>73</v>
      </c>
      <c r="O925" s="6">
        <v>45545</v>
      </c>
      <c r="Q925" s="9">
        <f ca="1">IF(P925="",TODAY()-O925,P925-O925)</f>
        <v>24</v>
      </c>
      <c r="S925" s="5" t="s">
        <v>26</v>
      </c>
      <c r="T925" s="4" t="s">
        <v>114</v>
      </c>
      <c r="U925" s="5" t="s">
        <v>33</v>
      </c>
    </row>
    <row r="926" spans="1:26" x14ac:dyDescent="0.25">
      <c r="A926" s="7" t="s">
        <v>2727</v>
      </c>
      <c r="B926" s="7" t="s">
        <v>1071</v>
      </c>
      <c r="F926" s="4" t="s">
        <v>2525</v>
      </c>
      <c r="N926" s="4" t="s">
        <v>73</v>
      </c>
      <c r="O926" s="6">
        <v>45545</v>
      </c>
      <c r="Q926" s="9">
        <f ca="1">IF(P926="",TODAY()-O926,P926-O926)</f>
        <v>24</v>
      </c>
      <c r="S926" s="5" t="s">
        <v>26</v>
      </c>
      <c r="T926" s="4" t="s">
        <v>114</v>
      </c>
      <c r="U926" s="5" t="s">
        <v>33</v>
      </c>
      <c r="Z926" s="7" t="s">
        <v>2731</v>
      </c>
    </row>
    <row r="927" spans="1:26" x14ac:dyDescent="0.25">
      <c r="A927" s="7" t="s">
        <v>2728</v>
      </c>
      <c r="B927" s="7" t="s">
        <v>1071</v>
      </c>
      <c r="F927" s="4" t="s">
        <v>2525</v>
      </c>
      <c r="N927" s="4" t="s">
        <v>73</v>
      </c>
      <c r="O927" s="6">
        <v>45545</v>
      </c>
      <c r="Q927" s="9">
        <f ca="1">IF(P927="",TODAY()-O927,P927-O927)</f>
        <v>24</v>
      </c>
      <c r="S927" s="5" t="s">
        <v>26</v>
      </c>
      <c r="T927" s="4" t="s">
        <v>114</v>
      </c>
      <c r="U927" s="5" t="s">
        <v>33</v>
      </c>
      <c r="Z927" s="7" t="s">
        <v>2731</v>
      </c>
    </row>
    <row r="928" spans="1:26" x14ac:dyDescent="0.25">
      <c r="A928" s="7" t="s">
        <v>2729</v>
      </c>
      <c r="B928" s="7" t="s">
        <v>1071</v>
      </c>
      <c r="F928" s="4" t="s">
        <v>2525</v>
      </c>
      <c r="N928" s="4" t="s">
        <v>73</v>
      </c>
      <c r="O928" s="6">
        <v>45545</v>
      </c>
      <c r="Q928" s="9">
        <f ca="1">IF(P928="",TODAY()-O928,P928-O928)</f>
        <v>24</v>
      </c>
      <c r="S928" s="5" t="s">
        <v>26</v>
      </c>
      <c r="T928" s="4" t="s">
        <v>114</v>
      </c>
      <c r="U928" s="5" t="s">
        <v>33</v>
      </c>
      <c r="Z928" s="7" t="s">
        <v>2731</v>
      </c>
    </row>
    <row r="929" spans="1:26" x14ac:dyDescent="0.25">
      <c r="A929" s="7" t="s">
        <v>2730</v>
      </c>
      <c r="B929" s="7" t="s">
        <v>1071</v>
      </c>
      <c r="F929" s="4" t="s">
        <v>2525</v>
      </c>
      <c r="N929" s="4" t="s">
        <v>73</v>
      </c>
      <c r="O929" s="6">
        <v>45545</v>
      </c>
      <c r="Q929" s="9">
        <f ca="1">IF(P929="",TODAY()-O929,P929-O929)</f>
        <v>24</v>
      </c>
      <c r="S929" s="5" t="s">
        <v>26</v>
      </c>
      <c r="T929" s="4" t="s">
        <v>114</v>
      </c>
      <c r="U929" s="5" t="s">
        <v>33</v>
      </c>
      <c r="Z929" s="7" t="s">
        <v>2731</v>
      </c>
    </row>
    <row r="930" spans="1:26" x14ac:dyDescent="0.25">
      <c r="A930" s="7" t="s">
        <v>2763</v>
      </c>
      <c r="B930" s="7" t="s">
        <v>1071</v>
      </c>
      <c r="C930" s="5" t="s">
        <v>12</v>
      </c>
      <c r="D930" s="4" t="s">
        <v>17</v>
      </c>
      <c r="F930" s="4" t="s">
        <v>384</v>
      </c>
      <c r="N930" s="4" t="s">
        <v>73</v>
      </c>
      <c r="O930" s="6">
        <v>45549</v>
      </c>
      <c r="Q930" s="9">
        <f ca="1">IF(P930="",TODAY()-O930,P930-O930)</f>
        <v>20</v>
      </c>
      <c r="S930" s="5" t="s">
        <v>26</v>
      </c>
      <c r="U930" s="5" t="s">
        <v>29</v>
      </c>
    </row>
    <row r="931" spans="1:26" x14ac:dyDescent="0.25">
      <c r="A931" s="7" t="s">
        <v>2764</v>
      </c>
      <c r="B931" s="7" t="s">
        <v>1071</v>
      </c>
      <c r="C931" s="5" t="s">
        <v>12</v>
      </c>
      <c r="D931" s="4" t="s">
        <v>16</v>
      </c>
      <c r="E931" s="5" t="s">
        <v>2227</v>
      </c>
      <c r="F931" s="4" t="s">
        <v>547</v>
      </c>
      <c r="N931" s="4" t="s">
        <v>73</v>
      </c>
      <c r="O931" s="6">
        <v>45551</v>
      </c>
      <c r="Q931" s="9">
        <f ca="1">IF(P931="",TODAY()-O931,P931-O931)</f>
        <v>18</v>
      </c>
      <c r="S931" s="5" t="s">
        <v>26</v>
      </c>
      <c r="T931" s="4" t="s">
        <v>38</v>
      </c>
    </row>
    <row r="932" spans="1:26" x14ac:dyDescent="0.25">
      <c r="A932" s="7" t="s">
        <v>2765</v>
      </c>
      <c r="B932" s="7" t="s">
        <v>1071</v>
      </c>
      <c r="C932" s="5" t="s">
        <v>12</v>
      </c>
      <c r="D932" s="4" t="s">
        <v>713</v>
      </c>
      <c r="F932" s="4" t="s">
        <v>2768</v>
      </c>
      <c r="N932" s="4" t="s">
        <v>73</v>
      </c>
      <c r="O932" s="6">
        <v>45551</v>
      </c>
      <c r="P932" s="11">
        <v>45560</v>
      </c>
      <c r="Q932" s="9">
        <f ca="1">IF(P932="",TODAY()-O932,P932-O932)</f>
        <v>9</v>
      </c>
      <c r="R932" s="4" t="s">
        <v>43</v>
      </c>
      <c r="S932" s="5" t="s">
        <v>122</v>
      </c>
      <c r="T932" s="4" t="s">
        <v>38</v>
      </c>
      <c r="U932" s="5" t="s">
        <v>30</v>
      </c>
      <c r="W932" s="5" t="s">
        <v>39</v>
      </c>
      <c r="Z932" s="7" t="s">
        <v>2796</v>
      </c>
    </row>
    <row r="933" spans="1:26" x14ac:dyDescent="0.25">
      <c r="A933" s="7" t="s">
        <v>2766</v>
      </c>
      <c r="B933" s="7" t="s">
        <v>1071</v>
      </c>
      <c r="C933" s="5" t="s">
        <v>12</v>
      </c>
      <c r="D933" s="4" t="s">
        <v>713</v>
      </c>
      <c r="F933" s="4" t="s">
        <v>2768</v>
      </c>
      <c r="N933" s="4" t="s">
        <v>73</v>
      </c>
      <c r="O933" s="6">
        <v>45551</v>
      </c>
      <c r="P933" s="11">
        <v>45561</v>
      </c>
      <c r="Q933" s="9">
        <f ca="1">IF(P933="",TODAY()-O933,P933-O933)</f>
        <v>10</v>
      </c>
      <c r="S933" s="5" t="s">
        <v>122</v>
      </c>
      <c r="T933" s="4" t="s">
        <v>38</v>
      </c>
      <c r="U933" s="5" t="s">
        <v>30</v>
      </c>
      <c r="W933" s="5" t="s">
        <v>39</v>
      </c>
    </row>
    <row r="934" spans="1:26" x14ac:dyDescent="0.25">
      <c r="A934" s="7" t="s">
        <v>2767</v>
      </c>
      <c r="B934" s="7" t="s">
        <v>1071</v>
      </c>
      <c r="C934" s="5" t="s">
        <v>12</v>
      </c>
      <c r="D934" s="4" t="s">
        <v>713</v>
      </c>
      <c r="F934" s="4" t="s">
        <v>2768</v>
      </c>
      <c r="N934" s="4" t="s">
        <v>73</v>
      </c>
      <c r="O934" s="6">
        <v>45551</v>
      </c>
      <c r="P934" s="11">
        <v>45562</v>
      </c>
      <c r="Q934" s="9">
        <f ca="1">IF(P934="",TODAY()-O934,P934-O934)</f>
        <v>11</v>
      </c>
      <c r="R934" s="4" t="s">
        <v>43</v>
      </c>
      <c r="S934" s="5" t="s">
        <v>122</v>
      </c>
      <c r="T934" s="4" t="s">
        <v>38</v>
      </c>
      <c r="U934" s="5" t="s">
        <v>30</v>
      </c>
      <c r="W934" s="5" t="s">
        <v>39</v>
      </c>
    </row>
    <row r="935" spans="1:26" x14ac:dyDescent="0.25">
      <c r="A935" s="7" t="s">
        <v>2788</v>
      </c>
      <c r="B935" s="7" t="s">
        <v>1071</v>
      </c>
      <c r="C935" s="5" t="s">
        <v>12</v>
      </c>
      <c r="D935" s="4" t="s">
        <v>174</v>
      </c>
      <c r="E935" s="5" t="s">
        <v>2228</v>
      </c>
      <c r="F935" s="4" t="s">
        <v>591</v>
      </c>
      <c r="N935" s="4" t="s">
        <v>9</v>
      </c>
      <c r="O935" s="6">
        <v>45551</v>
      </c>
      <c r="Q935" s="9">
        <f ca="1">IF(P935="",TODAY()-O935,P935-O935)</f>
        <v>18</v>
      </c>
      <c r="R935" s="4" t="s">
        <v>42</v>
      </c>
      <c r="S935" s="5" t="s">
        <v>26</v>
      </c>
      <c r="U935" s="5" t="s">
        <v>31</v>
      </c>
      <c r="W935" s="5" t="s">
        <v>39</v>
      </c>
      <c r="Z935" s="7" t="s">
        <v>2789</v>
      </c>
    </row>
    <row r="936" spans="1:26" x14ac:dyDescent="0.25">
      <c r="A936" s="7" t="s">
        <v>2771</v>
      </c>
      <c r="B936" s="7" t="s">
        <v>1071</v>
      </c>
      <c r="C936" s="5" t="s">
        <v>12</v>
      </c>
      <c r="D936" s="4" t="s">
        <v>311</v>
      </c>
      <c r="E936" s="5" t="s">
        <v>2228</v>
      </c>
      <c r="F936" s="4" t="s">
        <v>2772</v>
      </c>
      <c r="G936" s="9" t="s">
        <v>50</v>
      </c>
      <c r="H936" s="32">
        <v>45553</v>
      </c>
      <c r="J936" s="4" t="s">
        <v>503</v>
      </c>
      <c r="N936" s="4" t="s">
        <v>73</v>
      </c>
      <c r="O936" s="6">
        <v>45552</v>
      </c>
      <c r="Q936" s="9">
        <f ca="1">IF(P936="",TODAY()-O936,P936-O936)</f>
        <v>17</v>
      </c>
      <c r="S936" s="5" t="s">
        <v>121</v>
      </c>
      <c r="T936" s="4" t="s">
        <v>2624</v>
      </c>
      <c r="U936" s="5" t="s">
        <v>452</v>
      </c>
      <c r="W936" s="5" t="s">
        <v>39</v>
      </c>
      <c r="Z936" s="7" t="s">
        <v>2773</v>
      </c>
    </row>
    <row r="937" spans="1:26" x14ac:dyDescent="0.25">
      <c r="A937" s="7" t="s">
        <v>2814</v>
      </c>
      <c r="B937" s="7" t="s">
        <v>1071</v>
      </c>
      <c r="C937" s="5" t="s">
        <v>12</v>
      </c>
      <c r="D937" s="4" t="s">
        <v>311</v>
      </c>
      <c r="E937" s="5" t="s">
        <v>2228</v>
      </c>
      <c r="F937" s="4" t="s">
        <v>961</v>
      </c>
      <c r="N937" s="4" t="s">
        <v>73</v>
      </c>
      <c r="O937" s="6">
        <v>45553</v>
      </c>
      <c r="P937" s="11">
        <v>45566</v>
      </c>
      <c r="Q937" s="9">
        <f ca="1">IF(P937="",TODAY()-O937,P937-O937)</f>
        <v>13</v>
      </c>
      <c r="R937" s="4" t="s">
        <v>42</v>
      </c>
      <c r="S937" s="5" t="s">
        <v>26</v>
      </c>
      <c r="T937" s="4" t="s">
        <v>38</v>
      </c>
      <c r="U937" s="5" t="s">
        <v>30</v>
      </c>
    </row>
    <row r="938" spans="1:26" x14ac:dyDescent="0.25">
      <c r="A938" s="7" t="s">
        <v>2815</v>
      </c>
      <c r="B938" s="7" t="s">
        <v>1071</v>
      </c>
      <c r="C938" s="5" t="s">
        <v>12</v>
      </c>
      <c r="D938" s="4" t="s">
        <v>17</v>
      </c>
      <c r="E938" s="5" t="s">
        <v>2228</v>
      </c>
      <c r="F938" s="4" t="s">
        <v>961</v>
      </c>
      <c r="N938" s="4" t="s">
        <v>73</v>
      </c>
      <c r="O938" s="6">
        <v>45555</v>
      </c>
      <c r="Q938" s="9">
        <f ca="1">IF(P938="",TODAY()-O938,P938-O938)</f>
        <v>14</v>
      </c>
      <c r="S938" s="5" t="s">
        <v>26</v>
      </c>
      <c r="T938" s="4" t="s">
        <v>38</v>
      </c>
      <c r="U938" s="5" t="s">
        <v>30</v>
      </c>
    </row>
    <row r="939" spans="1:26" x14ac:dyDescent="0.25">
      <c r="A939" s="7" t="s">
        <v>2790</v>
      </c>
      <c r="B939" s="7" t="s">
        <v>1071</v>
      </c>
      <c r="C939" s="5" t="s">
        <v>12</v>
      </c>
      <c r="D939" s="4" t="s">
        <v>16</v>
      </c>
      <c r="E939" s="5" t="s">
        <v>2227</v>
      </c>
      <c r="F939" s="4" t="s">
        <v>2744</v>
      </c>
      <c r="N939" s="4" t="s">
        <v>73</v>
      </c>
      <c r="O939" s="6">
        <v>45558</v>
      </c>
      <c r="Q939" s="9">
        <f ca="1">IF(P939="",TODAY()-O939,P939-O939)</f>
        <v>11</v>
      </c>
      <c r="S939" s="5" t="s">
        <v>27</v>
      </c>
      <c r="U939" s="5" t="s">
        <v>452</v>
      </c>
      <c r="W939" s="5" t="s">
        <v>39</v>
      </c>
    </row>
    <row r="940" spans="1:26" x14ac:dyDescent="0.25">
      <c r="A940" s="7" t="s">
        <v>2791</v>
      </c>
      <c r="B940" s="7" t="s">
        <v>1071</v>
      </c>
      <c r="C940" s="5" t="s">
        <v>12</v>
      </c>
      <c r="D940" s="4" t="s">
        <v>311</v>
      </c>
      <c r="E940" s="5" t="s">
        <v>2228</v>
      </c>
      <c r="F940" s="4" t="s">
        <v>2744</v>
      </c>
      <c r="N940" s="4" t="s">
        <v>73</v>
      </c>
      <c r="O940" s="6">
        <v>45558</v>
      </c>
      <c r="Q940" s="9">
        <f ca="1">IF(P940="",TODAY()-O940,P940-O940)</f>
        <v>11</v>
      </c>
      <c r="S940" s="5" t="s">
        <v>27</v>
      </c>
      <c r="U940" s="5" t="s">
        <v>452</v>
      </c>
      <c r="W940" s="5" t="s">
        <v>39</v>
      </c>
    </row>
    <row r="941" spans="1:26" x14ac:dyDescent="0.25">
      <c r="A941" s="7" t="s">
        <v>2797</v>
      </c>
      <c r="B941" s="7" t="s">
        <v>1071</v>
      </c>
      <c r="C941" s="5" t="s">
        <v>12</v>
      </c>
      <c r="D941" s="4" t="s">
        <v>311</v>
      </c>
      <c r="E941" s="5" t="s">
        <v>24</v>
      </c>
      <c r="F941" s="4" t="s">
        <v>591</v>
      </c>
      <c r="K941" s="6">
        <v>45560</v>
      </c>
      <c r="N941" s="4" t="s">
        <v>73</v>
      </c>
      <c r="O941" s="6">
        <v>45559</v>
      </c>
      <c r="Q941" s="9">
        <f ca="1">IF(P941="",TODAY()-O941,P941-O941)</f>
        <v>10</v>
      </c>
      <c r="S941" s="5" t="s">
        <v>26</v>
      </c>
      <c r="U941" s="5" t="s">
        <v>29</v>
      </c>
      <c r="V941" s="4">
        <v>1136</v>
      </c>
      <c r="W941" s="5" t="s">
        <v>39</v>
      </c>
      <c r="Z941" s="7" t="s">
        <v>2798</v>
      </c>
    </row>
    <row r="942" spans="1:26" x14ac:dyDescent="0.25">
      <c r="A942" s="7" t="s">
        <v>2799</v>
      </c>
      <c r="B942" s="7" t="s">
        <v>1071</v>
      </c>
      <c r="C942" s="5" t="s">
        <v>12</v>
      </c>
      <c r="D942" s="4" t="s">
        <v>14</v>
      </c>
      <c r="F942" s="11">
        <v>45505</v>
      </c>
      <c r="N942" s="4" t="s">
        <v>73</v>
      </c>
      <c r="O942" s="6">
        <v>45559</v>
      </c>
      <c r="Q942" s="9">
        <f ca="1">IF(P942="",TODAY()-O942,P942-O942)</f>
        <v>10</v>
      </c>
      <c r="S942" s="5" t="s">
        <v>27</v>
      </c>
      <c r="U942" s="5" t="s">
        <v>29</v>
      </c>
      <c r="V942" s="4">
        <v>1137</v>
      </c>
      <c r="W942" s="5" t="s">
        <v>39</v>
      </c>
    </row>
    <row r="943" spans="1:26" x14ac:dyDescent="0.25">
      <c r="A943" s="7" t="s">
        <v>2800</v>
      </c>
      <c r="B943" s="7" t="s">
        <v>1071</v>
      </c>
      <c r="C943" s="5" t="s">
        <v>12</v>
      </c>
      <c r="D943" s="4" t="s">
        <v>14</v>
      </c>
      <c r="F943" s="11">
        <v>45505</v>
      </c>
      <c r="N943" s="4" t="s">
        <v>73</v>
      </c>
      <c r="O943" s="6">
        <v>45559</v>
      </c>
      <c r="Q943" s="9">
        <f ca="1">IF(P943="",TODAY()-O943,P943-O943)</f>
        <v>10</v>
      </c>
      <c r="S943" s="5" t="s">
        <v>27</v>
      </c>
      <c r="U943" s="5" t="s">
        <v>29</v>
      </c>
      <c r="V943" s="4">
        <v>1138</v>
      </c>
      <c r="W943" s="5" t="s">
        <v>39</v>
      </c>
    </row>
    <row r="944" spans="1:26" x14ac:dyDescent="0.25">
      <c r="A944" s="7" t="s">
        <v>2801</v>
      </c>
      <c r="B944" s="7" t="s">
        <v>1071</v>
      </c>
      <c r="C944" s="5" t="s">
        <v>12</v>
      </c>
      <c r="D944" s="4" t="s">
        <v>16</v>
      </c>
      <c r="F944" s="11">
        <v>45505</v>
      </c>
      <c r="N944" s="4" t="s">
        <v>73</v>
      </c>
      <c r="O944" s="6">
        <v>45559</v>
      </c>
      <c r="Q944" s="9">
        <f ca="1">IF(P944="",TODAY()-O944,P944-O944)</f>
        <v>10</v>
      </c>
      <c r="S944" s="5" t="s">
        <v>27</v>
      </c>
      <c r="U944" s="5" t="s">
        <v>29</v>
      </c>
      <c r="V944" s="4">
        <v>1139</v>
      </c>
      <c r="W944" s="5" t="s">
        <v>39</v>
      </c>
    </row>
    <row r="945" spans="1:27" x14ac:dyDescent="0.25">
      <c r="A945" s="7" t="s">
        <v>2802</v>
      </c>
      <c r="B945" s="7" t="s">
        <v>1071</v>
      </c>
      <c r="C945" s="5" t="s">
        <v>12</v>
      </c>
      <c r="D945" s="4" t="s">
        <v>16</v>
      </c>
      <c r="F945" s="11">
        <v>45505</v>
      </c>
      <c r="N945" s="4" t="s">
        <v>73</v>
      </c>
      <c r="O945" s="6">
        <v>45559</v>
      </c>
      <c r="Q945" s="9">
        <f ca="1">IF(P945="",TODAY()-O945,P945-O945)</f>
        <v>10</v>
      </c>
      <c r="S945" s="5" t="s">
        <v>27</v>
      </c>
      <c r="U945" s="5" t="s">
        <v>29</v>
      </c>
      <c r="V945" s="4">
        <v>1140</v>
      </c>
      <c r="W945" s="5" t="s">
        <v>39</v>
      </c>
    </row>
    <row r="946" spans="1:27" x14ac:dyDescent="0.25">
      <c r="A946" s="7" t="s">
        <v>2803</v>
      </c>
      <c r="B946" s="7" t="s">
        <v>1071</v>
      </c>
      <c r="C946" s="5" t="s">
        <v>12</v>
      </c>
      <c r="D946" s="4" t="s">
        <v>16</v>
      </c>
      <c r="F946" s="11">
        <v>45505</v>
      </c>
      <c r="N946" s="4" t="s">
        <v>73</v>
      </c>
      <c r="O946" s="6">
        <v>45559</v>
      </c>
      <c r="Q946" s="9">
        <f ca="1">IF(P946="",TODAY()-O946,P946-O946)</f>
        <v>10</v>
      </c>
      <c r="S946" s="5" t="s">
        <v>27</v>
      </c>
      <c r="U946" s="5" t="s">
        <v>29</v>
      </c>
      <c r="V946" s="4">
        <v>1141</v>
      </c>
      <c r="W946" s="5" t="s">
        <v>39</v>
      </c>
    </row>
    <row r="947" spans="1:27" x14ac:dyDescent="0.25">
      <c r="A947" s="7" t="s">
        <v>2812</v>
      </c>
      <c r="B947" s="7" t="s">
        <v>1071</v>
      </c>
      <c r="C947" s="5" t="s">
        <v>12</v>
      </c>
      <c r="D947" s="4" t="s">
        <v>127</v>
      </c>
      <c r="E947" s="5" t="s">
        <v>2227</v>
      </c>
      <c r="F947" s="4" t="s">
        <v>583</v>
      </c>
      <c r="N947" s="4" t="s">
        <v>73</v>
      </c>
      <c r="O947" s="6">
        <v>45563</v>
      </c>
      <c r="Q947" s="9">
        <f ca="1">IF(P947="",TODAY()-O947,P947-O947)</f>
        <v>6</v>
      </c>
      <c r="S947" s="5" t="s">
        <v>26</v>
      </c>
      <c r="T947" s="4" t="s">
        <v>38</v>
      </c>
      <c r="W947" s="5" t="s">
        <v>39</v>
      </c>
    </row>
    <row r="948" spans="1:27" x14ac:dyDescent="0.25">
      <c r="A948" s="7" t="s">
        <v>2809</v>
      </c>
      <c r="B948" s="7" t="s">
        <v>1071</v>
      </c>
      <c r="C948" s="5" t="s">
        <v>12</v>
      </c>
      <c r="D948" s="4" t="s">
        <v>17</v>
      </c>
      <c r="E948" s="5" t="s">
        <v>2227</v>
      </c>
      <c r="F948" s="4" t="s">
        <v>1043</v>
      </c>
      <c r="N948" s="4" t="s">
        <v>73</v>
      </c>
      <c r="O948" s="6">
        <v>45565</v>
      </c>
      <c r="Q948" s="9">
        <f ca="1">IF(P948="",TODAY()-O948,P948-O948)</f>
        <v>4</v>
      </c>
      <c r="S948" s="5" t="s">
        <v>121</v>
      </c>
      <c r="U948" s="5" t="s">
        <v>29</v>
      </c>
      <c r="V948" s="4">
        <v>1142</v>
      </c>
      <c r="W948" s="5" t="s">
        <v>39</v>
      </c>
      <c r="Z948" s="7" t="s">
        <v>2811</v>
      </c>
    </row>
    <row r="949" spans="1:27" x14ac:dyDescent="0.25">
      <c r="A949" s="7" t="s">
        <v>2810</v>
      </c>
      <c r="B949" s="7" t="s">
        <v>1071</v>
      </c>
      <c r="C949" s="5" t="s">
        <v>12</v>
      </c>
      <c r="D949" s="4" t="s">
        <v>17</v>
      </c>
      <c r="E949" s="5" t="s">
        <v>2228</v>
      </c>
      <c r="F949" s="4" t="s">
        <v>1043</v>
      </c>
      <c r="N949" s="4" t="s">
        <v>73</v>
      </c>
      <c r="O949" s="6">
        <v>45565</v>
      </c>
      <c r="Q949" s="9">
        <f ca="1">IF(P949="",TODAY()-O949,P949-O949)</f>
        <v>4</v>
      </c>
      <c r="S949" s="5" t="s">
        <v>121</v>
      </c>
      <c r="U949" s="5" t="s">
        <v>29</v>
      </c>
      <c r="V949" s="4">
        <v>1143</v>
      </c>
      <c r="W949" s="5" t="s">
        <v>39</v>
      </c>
      <c r="Z949" s="7" t="s">
        <v>2811</v>
      </c>
    </row>
    <row r="950" spans="1:27" x14ac:dyDescent="0.25">
      <c r="A950" s="7" t="s">
        <v>238</v>
      </c>
      <c r="C950" s="5" t="s">
        <v>12</v>
      </c>
      <c r="D950" s="4" t="s">
        <v>16</v>
      </c>
      <c r="E950" s="5" t="s">
        <v>24</v>
      </c>
      <c r="F950" s="4" t="s">
        <v>240</v>
      </c>
      <c r="G950" s="9" t="s">
        <v>51</v>
      </c>
      <c r="J950" s="4" t="s">
        <v>56</v>
      </c>
      <c r="K950" s="6">
        <v>44792</v>
      </c>
      <c r="L950" s="56"/>
      <c r="M950" s="56"/>
      <c r="N950" s="4" t="s">
        <v>73</v>
      </c>
      <c r="Q950" s="9">
        <f ca="1">IF(P950="",TODAY()-O950,P950-O950)</f>
        <v>45569</v>
      </c>
      <c r="S950" s="5" t="s">
        <v>26</v>
      </c>
      <c r="T950" s="4" t="s">
        <v>132</v>
      </c>
      <c r="U950" s="5" t="s">
        <v>30</v>
      </c>
      <c r="W950" s="5" t="s">
        <v>38</v>
      </c>
      <c r="Z950" s="7" t="s">
        <v>400</v>
      </c>
    </row>
    <row r="951" spans="1:27" x14ac:dyDescent="0.25">
      <c r="A951" s="7" t="s">
        <v>382</v>
      </c>
      <c r="C951" s="5" t="s">
        <v>12</v>
      </c>
      <c r="D951" s="4" t="s">
        <v>311</v>
      </c>
      <c r="E951" s="5" t="s">
        <v>22</v>
      </c>
      <c r="F951" s="4" t="s">
        <v>240</v>
      </c>
      <c r="G951" s="9" t="s">
        <v>51</v>
      </c>
      <c r="J951" s="4" t="s">
        <v>56</v>
      </c>
      <c r="K951" s="6">
        <v>44816</v>
      </c>
      <c r="L951" s="56"/>
      <c r="M951" s="56"/>
      <c r="N951" s="4" t="s">
        <v>73</v>
      </c>
      <c r="Q951" s="9">
        <f ca="1">IF(P951="",TODAY()-O951,P951-O951)</f>
        <v>45569</v>
      </c>
      <c r="S951" s="5" t="s">
        <v>26</v>
      </c>
      <c r="T951" s="4" t="s">
        <v>132</v>
      </c>
      <c r="U951" s="5" t="s">
        <v>30</v>
      </c>
      <c r="W951" s="5" t="s">
        <v>38</v>
      </c>
      <c r="Z951" s="7" t="s">
        <v>243</v>
      </c>
    </row>
    <row r="952" spans="1:27" x14ac:dyDescent="0.25">
      <c r="A952" s="7" t="s">
        <v>383</v>
      </c>
      <c r="C952" s="5" t="s">
        <v>12</v>
      </c>
      <c r="D952" s="4" t="s">
        <v>311</v>
      </c>
      <c r="E952" s="5" t="s">
        <v>23</v>
      </c>
      <c r="F952" s="4" t="s">
        <v>240</v>
      </c>
      <c r="G952" s="9" t="s">
        <v>51</v>
      </c>
      <c r="J952" s="4" t="s">
        <v>56</v>
      </c>
      <c r="K952" s="6">
        <v>44816</v>
      </c>
      <c r="L952" s="56"/>
      <c r="M952" s="56"/>
      <c r="N952" s="4" t="s">
        <v>73</v>
      </c>
      <c r="Q952" s="9">
        <f ca="1">IF(P952="",TODAY()-O952,P952-O952)</f>
        <v>45569</v>
      </c>
      <c r="S952" s="5" t="s">
        <v>26</v>
      </c>
      <c r="T952" s="4" t="s">
        <v>132</v>
      </c>
      <c r="U952" s="5" t="s">
        <v>30</v>
      </c>
      <c r="W952" s="5" t="s">
        <v>38</v>
      </c>
      <c r="Z952" s="7" t="s">
        <v>243</v>
      </c>
    </row>
    <row r="953" spans="1:27" x14ac:dyDescent="0.25">
      <c r="A953" s="7" t="s">
        <v>402</v>
      </c>
      <c r="C953" s="5" t="s">
        <v>12</v>
      </c>
      <c r="D953" s="4" t="s">
        <v>20</v>
      </c>
      <c r="E953" s="5" t="s">
        <v>25</v>
      </c>
      <c r="F953" s="4" t="s">
        <v>462</v>
      </c>
      <c r="G953" s="9" t="s">
        <v>50</v>
      </c>
      <c r="H953" s="32">
        <v>44861</v>
      </c>
      <c r="J953" s="4" t="s">
        <v>56</v>
      </c>
      <c r="K953" s="6">
        <v>44861</v>
      </c>
      <c r="L953" s="56"/>
      <c r="M953" s="56"/>
      <c r="N953" s="4" t="s">
        <v>75</v>
      </c>
      <c r="O953" s="6"/>
      <c r="Q953" s="9">
        <f ca="1">IF(P953="",TODAY()-O953,P953-O953)</f>
        <v>45569</v>
      </c>
      <c r="S953" s="5" t="s">
        <v>631</v>
      </c>
      <c r="U953" s="5" t="s">
        <v>30</v>
      </c>
      <c r="W953" s="5" t="s">
        <v>38</v>
      </c>
    </row>
    <row r="954" spans="1:27" x14ac:dyDescent="0.25">
      <c r="A954" s="7" t="s">
        <v>461</v>
      </c>
      <c r="C954" s="5" t="s">
        <v>12</v>
      </c>
      <c r="D954" s="4" t="s">
        <v>16</v>
      </c>
      <c r="E954" s="5" t="s">
        <v>24</v>
      </c>
      <c r="F954" s="4" t="s">
        <v>462</v>
      </c>
      <c r="G954" s="9" t="s">
        <v>50</v>
      </c>
      <c r="H954" s="32">
        <v>44861</v>
      </c>
      <c r="J954" s="4" t="s">
        <v>56</v>
      </c>
      <c r="K954" s="6">
        <v>44861</v>
      </c>
      <c r="L954" s="56"/>
      <c r="M954" s="56"/>
      <c r="N954" s="4" t="s">
        <v>75</v>
      </c>
      <c r="O954" s="6"/>
      <c r="P954" s="11">
        <v>44884</v>
      </c>
      <c r="Q954" s="9">
        <f ca="1">IF(P954="",TODAY()-O954,P954-O954)</f>
        <v>44884</v>
      </c>
      <c r="S954" s="5" t="s">
        <v>26</v>
      </c>
      <c r="U954" s="5" t="s">
        <v>30</v>
      </c>
      <c r="W954" s="5" t="s">
        <v>38</v>
      </c>
    </row>
    <row r="955" spans="1:27" x14ac:dyDescent="0.25">
      <c r="A955" s="7" t="s">
        <v>673</v>
      </c>
      <c r="C955" s="5" t="s">
        <v>12</v>
      </c>
      <c r="D955" s="4" t="s">
        <v>16</v>
      </c>
      <c r="E955" s="5" t="s">
        <v>22</v>
      </c>
      <c r="F955" s="4" t="s">
        <v>384</v>
      </c>
      <c r="N955" s="4" t="s">
        <v>75</v>
      </c>
      <c r="P955" s="11">
        <v>44957</v>
      </c>
      <c r="Q955" s="9">
        <f ca="1">IF(P955="",TODAY()-O955,P955-O955)</f>
        <v>44957</v>
      </c>
      <c r="R955" s="4" t="s">
        <v>42</v>
      </c>
      <c r="S955" s="5" t="s">
        <v>26</v>
      </c>
      <c r="U955" s="5" t="s">
        <v>30</v>
      </c>
      <c r="W955" s="5" t="s">
        <v>38</v>
      </c>
      <c r="Z955" s="7" t="s">
        <v>693</v>
      </c>
    </row>
    <row r="956" spans="1:27" x14ac:dyDescent="0.25">
      <c r="A956" s="7" t="s">
        <v>788</v>
      </c>
      <c r="C956" s="5" t="s">
        <v>12</v>
      </c>
      <c r="D956" s="4" t="s">
        <v>16</v>
      </c>
      <c r="E956" s="5" t="s">
        <v>24</v>
      </c>
      <c r="F956" s="4" t="s">
        <v>591</v>
      </c>
      <c r="G956" s="9" t="s">
        <v>50</v>
      </c>
      <c r="H956" s="32"/>
      <c r="J956" s="4" t="s">
        <v>102</v>
      </c>
      <c r="N956" s="4" t="s">
        <v>73</v>
      </c>
      <c r="O956" s="6"/>
      <c r="Q956" s="9">
        <f ca="1">IF(P956="",TODAY()-O956,P956-O956)</f>
        <v>45569</v>
      </c>
      <c r="S956" s="5" t="s">
        <v>631</v>
      </c>
      <c r="U956" s="5" t="s">
        <v>30</v>
      </c>
      <c r="W956" s="5" t="s">
        <v>38</v>
      </c>
      <c r="Z956" s="7" t="s">
        <v>789</v>
      </c>
      <c r="AA956" s="7"/>
    </row>
    <row r="957" spans="1:27" x14ac:dyDescent="0.25">
      <c r="A957" s="7" t="s">
        <v>1757</v>
      </c>
      <c r="B957" s="7" t="s">
        <v>1071</v>
      </c>
      <c r="C957" s="5" t="s">
        <v>12</v>
      </c>
      <c r="O957" s="6"/>
      <c r="Q957" s="9">
        <f ca="1">IF(P957="",TODAY()-O957,P957-O957)</f>
        <v>45569</v>
      </c>
      <c r="V957" s="4">
        <v>1001</v>
      </c>
      <c r="W957" s="5" t="s">
        <v>39</v>
      </c>
      <c r="Z957" s="7" t="s">
        <v>1759</v>
      </c>
    </row>
    <row r="958" spans="1:27" x14ac:dyDescent="0.25">
      <c r="A958" s="7" t="s">
        <v>2200</v>
      </c>
      <c r="B958" s="7" t="s">
        <v>1071</v>
      </c>
      <c r="C958" s="5" t="s">
        <v>12</v>
      </c>
      <c r="E958" s="5" t="s">
        <v>23</v>
      </c>
      <c r="Q958" s="9">
        <f ca="1">IF(P958="",TODAY()-O958,P958-O958)</f>
        <v>45569</v>
      </c>
      <c r="T958" s="4" t="s">
        <v>38</v>
      </c>
      <c r="U958" s="5" t="s">
        <v>30</v>
      </c>
    </row>
    <row r="959" spans="1:27" x14ac:dyDescent="0.25">
      <c r="A959" s="7" t="s">
        <v>2215</v>
      </c>
      <c r="B959" s="7" t="s">
        <v>1071</v>
      </c>
      <c r="C959" s="5" t="s">
        <v>12</v>
      </c>
      <c r="E959" s="5" t="s">
        <v>24</v>
      </c>
      <c r="F959" s="4" t="s">
        <v>384</v>
      </c>
      <c r="K959" s="6">
        <v>45392</v>
      </c>
      <c r="L959" s="7" t="s">
        <v>2016</v>
      </c>
      <c r="M959" s="7" t="s">
        <v>2016</v>
      </c>
      <c r="N959" s="4" t="s">
        <v>73</v>
      </c>
      <c r="P959" s="11">
        <v>45392</v>
      </c>
      <c r="Q959" s="9">
        <f ca="1">IF(P959="",TODAY()-O959,P959-O959)</f>
        <v>45392</v>
      </c>
      <c r="S959" s="5" t="s">
        <v>631</v>
      </c>
      <c r="T959" s="4" t="s">
        <v>38</v>
      </c>
      <c r="U959" s="5" t="s">
        <v>30</v>
      </c>
      <c r="W959" s="5" t="s">
        <v>38</v>
      </c>
      <c r="Z959" s="7" t="s">
        <v>2231</v>
      </c>
    </row>
    <row r="960" spans="1:27" x14ac:dyDescent="0.25">
      <c r="A960" s="7" t="s">
        <v>2538</v>
      </c>
      <c r="B960" s="7" t="s">
        <v>1071</v>
      </c>
      <c r="C960" s="5" t="s">
        <v>12</v>
      </c>
      <c r="D960" s="4" t="s">
        <v>311</v>
      </c>
      <c r="E960" s="5" t="s">
        <v>24</v>
      </c>
      <c r="N960" s="4" t="s">
        <v>73</v>
      </c>
      <c r="Q960" s="9">
        <f ca="1">IF(P960="",TODAY()-O960,P960-O960)</f>
        <v>45569</v>
      </c>
      <c r="S960" s="5" t="s">
        <v>27</v>
      </c>
      <c r="T960" s="4" t="s">
        <v>1019</v>
      </c>
      <c r="W960" s="5" t="s">
        <v>38</v>
      </c>
    </row>
    <row r="961" spans="1:21" x14ac:dyDescent="0.25">
      <c r="A961" s="7" t="s">
        <v>2572</v>
      </c>
      <c r="Q961" s="9">
        <f ca="1">IF(P961="",TODAY()-O961,P961-O961)</f>
        <v>45569</v>
      </c>
    </row>
    <row r="962" spans="1:21" x14ac:dyDescent="0.25">
      <c r="A962" s="7" t="s">
        <v>2598</v>
      </c>
      <c r="B962" s="7" t="s">
        <v>1071</v>
      </c>
      <c r="C962" s="5" t="s">
        <v>12</v>
      </c>
      <c r="E962" s="5" t="s">
        <v>25</v>
      </c>
      <c r="F962" s="4" t="s">
        <v>384</v>
      </c>
      <c r="O962" s="6"/>
      <c r="P962" s="11"/>
      <c r="Q962" s="9">
        <f ca="1">IF(P962="",TODAY()-O962,P962-O962)</f>
        <v>45569</v>
      </c>
      <c r="R962" s="4" t="s">
        <v>2039</v>
      </c>
      <c r="S962" s="5" t="s">
        <v>631</v>
      </c>
      <c r="U962" s="5" t="s">
        <v>33</v>
      </c>
    </row>
    <row r="963" spans="1:21" x14ac:dyDescent="0.25">
      <c r="A963" s="7" t="s">
        <v>2599</v>
      </c>
      <c r="B963" s="7" t="s">
        <v>1071</v>
      </c>
      <c r="C963" s="5" t="s">
        <v>12</v>
      </c>
      <c r="E963" s="5" t="s">
        <v>25</v>
      </c>
      <c r="F963" s="4" t="s">
        <v>384</v>
      </c>
      <c r="Q963" s="9">
        <f ca="1">IF(P963="",TODAY()-O963,P963-O963)</f>
        <v>45569</v>
      </c>
      <c r="S963" s="5" t="s">
        <v>631</v>
      </c>
    </row>
    <row r="964" spans="1:21" x14ac:dyDescent="0.25">
      <c r="A964" s="7" t="s">
        <v>2720</v>
      </c>
      <c r="B964" s="7" t="s">
        <v>1071</v>
      </c>
      <c r="C964" s="5" t="s">
        <v>12</v>
      </c>
      <c r="D964" s="4" t="s">
        <v>16</v>
      </c>
      <c r="E964" s="5" t="s">
        <v>2228</v>
      </c>
      <c r="F964" s="4" t="s">
        <v>2719</v>
      </c>
      <c r="G964" s="9" t="s">
        <v>51</v>
      </c>
      <c r="H964" s="32">
        <v>45476</v>
      </c>
      <c r="I964" s="33">
        <v>45505</v>
      </c>
      <c r="J964" s="4" t="s">
        <v>503</v>
      </c>
      <c r="Q964" s="9">
        <f ca="1">IF(P964="",TODAY()-O964,P964-O964)</f>
        <v>45569</v>
      </c>
      <c r="S964" s="5" t="s">
        <v>28</v>
      </c>
      <c r="U964" s="5" t="s">
        <v>30</v>
      </c>
    </row>
    <row r="965" spans="1:21" x14ac:dyDescent="0.25">
      <c r="A965" s="7" t="s">
        <v>2721</v>
      </c>
      <c r="B965" s="7" t="s">
        <v>1071</v>
      </c>
      <c r="D965" s="4" t="s">
        <v>17</v>
      </c>
      <c r="F965" s="4" t="s">
        <v>2722</v>
      </c>
      <c r="Q965" s="9">
        <f ca="1">IF(P965="",TODAY()-O965,P965-O965)</f>
        <v>45569</v>
      </c>
    </row>
    <row r="966" spans="1:21" x14ac:dyDescent="0.25">
      <c r="A966" s="7" t="s">
        <v>2813</v>
      </c>
      <c r="B966" s="7" t="s">
        <v>1071</v>
      </c>
      <c r="C966" s="5" t="s">
        <v>12</v>
      </c>
      <c r="F966" s="4" t="s">
        <v>961</v>
      </c>
      <c r="N966" s="4" t="s">
        <v>73</v>
      </c>
      <c r="P966" s="11">
        <v>45564</v>
      </c>
      <c r="Q966" s="9">
        <f ca="1">IF(P966="",TODAY()-O966,P966-O966)</f>
        <v>45564</v>
      </c>
      <c r="R966" s="4" t="s">
        <v>43</v>
      </c>
      <c r="S966" s="5" t="s">
        <v>26</v>
      </c>
      <c r="T966" s="4" t="s">
        <v>38</v>
      </c>
      <c r="U966" s="5" t="s">
        <v>30</v>
      </c>
    </row>
  </sheetData>
  <autoFilter ref="S1:S884" xr:uid="{3E5D8F6C-6850-458E-A1DE-60DCD06EE5A6}"/>
  <sortState xmlns:xlrd2="http://schemas.microsoft.com/office/spreadsheetml/2017/richdata2" ref="A2:AA966">
    <sortCondition ref="O2:O966"/>
  </sortState>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3">
        <x14:dataValidation type="list" allowBlank="1" showInputMessage="1" showErrorMessage="1" xr:uid="{D2759385-CADB-4200-A2ED-393F3FD083D9}">
          <x14:formula1>
            <xm:f>LIST!$A$23:$A$26</xm:f>
          </x14:formula1>
          <xm:sqref>G2:G1048576</xm:sqref>
        </x14:dataValidation>
        <x14:dataValidation type="list" allowBlank="1" showInputMessage="1" showErrorMessage="1" xr:uid="{89A3ED17-0DEA-4C14-BB2D-36D99A1B79AC}">
          <x14:formula1>
            <xm:f>LIST!$A$30:$A$105</xm:f>
          </x14:formula1>
          <xm:sqref>T1:T1048576</xm:sqref>
        </x14:dataValidation>
        <x14:dataValidation type="list" allowBlank="1" showInputMessage="1" showErrorMessage="1" xr:uid="{3D91AACB-FFAE-42AE-8868-7AE91B628AE4}">
          <x14:formula1>
            <xm:f>LIST!$A$17:$A$21</xm:f>
          </x14:formula1>
          <xm:sqref>R1:R1048576</xm:sqref>
        </x14:dataValidation>
        <x14:dataValidation type="list" allowBlank="1" showInputMessage="1" showErrorMessage="1" xr:uid="{23DBA2CB-7FCA-4DE4-A693-DF983FCF9E7C}">
          <x14:formula1>
            <xm:f>LIST!$B$23:$B$26</xm:f>
          </x14:formula1>
          <xm:sqref>J1:J1048576</xm:sqref>
        </x14:dataValidation>
        <x14:dataValidation type="list" allowBlank="1" showInputMessage="1" showErrorMessage="1" xr:uid="{C8BA8652-6E4B-4F36-BE64-3C9AF6713C42}">
          <x14:formula1>
            <xm:f>LIST!$C$17:$C$20</xm:f>
          </x14:formula1>
          <xm:sqref>N1:N1048576</xm:sqref>
        </x14:dataValidation>
        <x14:dataValidation type="list" allowBlank="1" showInputMessage="1" showErrorMessage="1" xr:uid="{3CD15CB0-7D6C-483A-BE1C-868992CF9E71}">
          <x14:formula1>
            <xm:f>LIST!$B$3:$B$17</xm:f>
          </x14:formula1>
          <xm:sqref>D1:D1048576</xm:sqref>
        </x14:dataValidation>
        <x14:dataValidation type="list" allowBlank="1" showInputMessage="1" showErrorMessage="1" xr:uid="{F843AC8B-DC9B-4F12-8F79-5BDC10C1DA1E}">
          <x14:formula1>
            <xm:f>LIST!$A$3:$A$9</xm:f>
          </x14:formula1>
          <xm:sqref>C1:C1048576</xm:sqref>
        </x14:dataValidation>
        <x14:dataValidation type="list" allowBlank="1" showInputMessage="1" showErrorMessage="1" xr:uid="{4520C939-FB06-4027-ABEE-69E113B791AF}">
          <x14:formula1>
            <xm:f>LIST!$F$17:$F$18</xm:f>
          </x14:formula1>
          <xm:sqref>B1:B1048576</xm:sqref>
        </x14:dataValidation>
        <x14:dataValidation type="list" allowBlank="1" showInputMessage="1" showErrorMessage="1" xr:uid="{FE985B76-C6E9-4E9C-9016-A37BAE4EB881}">
          <x14:formula1>
            <xm:f>LIST!$C$3:$C$6</xm:f>
          </x14:formula1>
          <xm:sqref>E2:E1048576</xm:sqref>
        </x14:dataValidation>
        <x14:dataValidation type="list" allowBlank="1" showInputMessage="1" showErrorMessage="1" xr:uid="{F4ADD9D9-D9B5-4DC8-8D85-72E953D5D2B3}">
          <x14:formula1>
            <xm:f>LIST!$D$3:$D$9</xm:f>
          </x14:formula1>
          <xm:sqref>S1:S1048576</xm:sqref>
        </x14:dataValidation>
        <x14:dataValidation type="list" allowBlank="1" showInputMessage="1" showErrorMessage="1" xr:uid="{97F87AAA-3CE3-423D-8BB8-BF25447490B7}">
          <x14:formula1>
            <xm:f>LIST!$G$13:$G$14</xm:f>
          </x14:formula1>
          <xm:sqref>L1:M1048576</xm:sqref>
        </x14:dataValidation>
        <x14:dataValidation type="list" allowBlank="1" showInputMessage="1" showErrorMessage="1" xr:uid="{E2F2B8EF-7AA5-4CB6-9E15-344EFED1C0B6}">
          <x14:formula1>
            <xm:f>LIST!$G$3:$G$12</xm:f>
          </x14:formula1>
          <xm:sqref>W1:W1048576</xm:sqref>
        </x14:dataValidation>
        <x14:dataValidation type="list" allowBlank="1" showInputMessage="1" showErrorMessage="1" xr:uid="{EAE5648E-D215-441F-B1E2-639DF3A8E022}">
          <x14:formula1>
            <xm:f>LIST!$E$3:$E$10</xm:f>
          </x14:formula1>
          <xm:sqref>U1:U1048576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D329-CC07-4499-9B64-229A39153FD0}">
  <dimension ref="A1:J80"/>
  <sheetViews>
    <sheetView zoomScale="85" zoomScaleNormal="85" workbookViewId="0">
      <pane ySplit="1" topLeftCell="A46" activePane="bottomLeft" state="frozen"/>
      <selection pane="bottomLeft" activeCell="E1" sqref="E1:E1048576"/>
    </sheetView>
  </sheetViews>
  <sheetFormatPr defaultRowHeight="15" x14ac:dyDescent="0.25"/>
  <cols>
    <col min="1" max="1" width="18.140625" customWidth="1"/>
    <col min="2" max="2" width="17.28515625" customWidth="1"/>
    <col min="3" max="3" width="31.7109375" customWidth="1"/>
    <col min="4" max="4" width="22.140625" customWidth="1"/>
    <col min="5" max="5" width="16.85546875" customWidth="1"/>
    <col min="6" max="6" width="19" customWidth="1"/>
    <col min="7" max="7" width="14.5703125" customWidth="1"/>
    <col min="8" max="8" width="19.28515625" customWidth="1"/>
    <col min="9" max="9" width="18.85546875" customWidth="1"/>
    <col min="10" max="10" width="33.5703125" customWidth="1"/>
  </cols>
  <sheetData>
    <row r="1" spans="1:10" s="10" customFormat="1" x14ac:dyDescent="0.25">
      <c r="A1" s="10" t="s">
        <v>59</v>
      </c>
      <c r="B1" s="10" t="s">
        <v>60</v>
      </c>
      <c r="C1" s="10" t="s">
        <v>61</v>
      </c>
      <c r="D1" s="10" t="s">
        <v>62</v>
      </c>
      <c r="E1" s="10" t="s">
        <v>63</v>
      </c>
      <c r="F1" s="10" t="s">
        <v>64</v>
      </c>
      <c r="G1" s="10" t="s">
        <v>70</v>
      </c>
      <c r="H1" s="10" t="s">
        <v>65</v>
      </c>
      <c r="I1" s="10" t="s">
        <v>66</v>
      </c>
      <c r="J1" s="10" t="s">
        <v>1692</v>
      </c>
    </row>
    <row r="2" spans="1:10" x14ac:dyDescent="0.25">
      <c r="A2" t="s">
        <v>290</v>
      </c>
      <c r="B2" t="s">
        <v>290</v>
      </c>
      <c r="H2" t="s">
        <v>291</v>
      </c>
    </row>
    <row r="3" spans="1:10" x14ac:dyDescent="0.25">
      <c r="A3" t="s">
        <v>297</v>
      </c>
      <c r="B3" t="s">
        <v>298</v>
      </c>
      <c r="C3" t="s">
        <v>299</v>
      </c>
      <c r="D3" t="s">
        <v>300</v>
      </c>
      <c r="E3" t="s">
        <v>98</v>
      </c>
      <c r="F3" t="s">
        <v>71</v>
      </c>
      <c r="H3" t="s">
        <v>301</v>
      </c>
    </row>
    <row r="4" spans="1:10" x14ac:dyDescent="0.25">
      <c r="A4" t="s">
        <v>169</v>
      </c>
      <c r="B4" t="s">
        <v>170</v>
      </c>
      <c r="C4" t="s">
        <v>171</v>
      </c>
      <c r="E4" t="s">
        <v>98</v>
      </c>
      <c r="F4" t="s">
        <v>71</v>
      </c>
      <c r="H4" t="s">
        <v>172</v>
      </c>
    </row>
    <row r="5" spans="1:10" x14ac:dyDescent="0.25">
      <c r="A5" t="s">
        <v>1675</v>
      </c>
      <c r="B5" t="s">
        <v>1676</v>
      </c>
      <c r="C5" t="s">
        <v>1677</v>
      </c>
      <c r="D5" t="s">
        <v>1678</v>
      </c>
      <c r="E5" t="s">
        <v>98</v>
      </c>
      <c r="F5" t="s">
        <v>77</v>
      </c>
      <c r="G5" t="s">
        <v>1679</v>
      </c>
      <c r="H5" t="s">
        <v>1680</v>
      </c>
    </row>
    <row r="6" spans="1:10" x14ac:dyDescent="0.25">
      <c r="A6" t="s">
        <v>145</v>
      </c>
      <c r="B6" t="s">
        <v>91</v>
      </c>
      <c r="C6" t="s">
        <v>146</v>
      </c>
      <c r="E6" t="s">
        <v>98</v>
      </c>
      <c r="F6" t="s">
        <v>71</v>
      </c>
      <c r="H6" t="s">
        <v>147</v>
      </c>
    </row>
    <row r="7" spans="1:10" x14ac:dyDescent="0.25">
      <c r="A7" t="s">
        <v>481</v>
      </c>
      <c r="B7" t="s">
        <v>482</v>
      </c>
      <c r="C7" t="s">
        <v>483</v>
      </c>
      <c r="E7" t="s">
        <v>86</v>
      </c>
      <c r="F7" t="s">
        <v>78</v>
      </c>
      <c r="G7" t="s">
        <v>905</v>
      </c>
      <c r="H7" t="s">
        <v>484</v>
      </c>
    </row>
    <row r="8" spans="1:10" x14ac:dyDescent="0.25">
      <c r="A8" t="s">
        <v>2395</v>
      </c>
      <c r="B8" t="s">
        <v>966</v>
      </c>
      <c r="F8" t="s">
        <v>77</v>
      </c>
      <c r="G8" t="s">
        <v>2397</v>
      </c>
      <c r="H8" t="s">
        <v>2396</v>
      </c>
    </row>
    <row r="9" spans="1:10" x14ac:dyDescent="0.25">
      <c r="A9" t="s">
        <v>813</v>
      </c>
      <c r="B9" t="s">
        <v>814</v>
      </c>
      <c r="C9" t="s">
        <v>815</v>
      </c>
      <c r="E9" t="s">
        <v>98</v>
      </c>
      <c r="F9" t="s">
        <v>71</v>
      </c>
      <c r="H9" t="s">
        <v>816</v>
      </c>
    </row>
    <row r="10" spans="1:10" x14ac:dyDescent="0.25">
      <c r="A10" t="s">
        <v>2774</v>
      </c>
      <c r="B10" t="s">
        <v>2775</v>
      </c>
      <c r="C10" t="s">
        <v>2776</v>
      </c>
      <c r="D10" t="s">
        <v>2777</v>
      </c>
      <c r="E10" t="s">
        <v>253</v>
      </c>
      <c r="F10" t="s">
        <v>77</v>
      </c>
      <c r="G10" t="s">
        <v>2778</v>
      </c>
      <c r="H10" t="s">
        <v>2779</v>
      </c>
    </row>
    <row r="11" spans="1:10" x14ac:dyDescent="0.25">
      <c r="A11" t="s">
        <v>413</v>
      </c>
      <c r="B11" t="s">
        <v>414</v>
      </c>
      <c r="C11" t="s">
        <v>419</v>
      </c>
      <c r="D11" t="s">
        <v>418</v>
      </c>
      <c r="E11" t="s">
        <v>417</v>
      </c>
      <c r="F11" t="s">
        <v>71</v>
      </c>
      <c r="G11" t="s">
        <v>416</v>
      </c>
      <c r="H11" t="s">
        <v>415</v>
      </c>
    </row>
    <row r="12" spans="1:10" x14ac:dyDescent="0.25">
      <c r="A12" t="s">
        <v>413</v>
      </c>
      <c r="B12" t="s">
        <v>1924</v>
      </c>
      <c r="E12" t="s">
        <v>253</v>
      </c>
      <c r="F12" t="s">
        <v>77</v>
      </c>
      <c r="H12" t="s">
        <v>676</v>
      </c>
    </row>
    <row r="13" spans="1:10" x14ac:dyDescent="0.25">
      <c r="A13" t="s">
        <v>162</v>
      </c>
      <c r="B13" t="s">
        <v>163</v>
      </c>
      <c r="C13" t="s">
        <v>164</v>
      </c>
      <c r="D13" t="s">
        <v>165</v>
      </c>
      <c r="E13" t="s">
        <v>166</v>
      </c>
      <c r="F13" t="s">
        <v>71</v>
      </c>
      <c r="G13" t="s">
        <v>167</v>
      </c>
      <c r="H13" t="s">
        <v>168</v>
      </c>
    </row>
    <row r="14" spans="1:10" x14ac:dyDescent="0.25">
      <c r="A14" t="s">
        <v>467</v>
      </c>
      <c r="B14" t="s">
        <v>468</v>
      </c>
      <c r="E14" t="s">
        <v>98</v>
      </c>
      <c r="F14" t="s">
        <v>71</v>
      </c>
    </row>
    <row r="15" spans="1:10" x14ac:dyDescent="0.25">
      <c r="A15" t="s">
        <v>1823</v>
      </c>
      <c r="B15" t="s">
        <v>1824</v>
      </c>
      <c r="C15" t="s">
        <v>1834</v>
      </c>
      <c r="E15" t="s">
        <v>86</v>
      </c>
      <c r="F15" t="s">
        <v>79</v>
      </c>
      <c r="G15" t="s">
        <v>1835</v>
      </c>
      <c r="H15" t="s">
        <v>1825</v>
      </c>
    </row>
    <row r="16" spans="1:10" x14ac:dyDescent="0.25">
      <c r="A16" t="s">
        <v>1827</v>
      </c>
      <c r="B16" t="s">
        <v>1828</v>
      </c>
      <c r="C16" t="s">
        <v>1829</v>
      </c>
      <c r="E16" t="s">
        <v>98</v>
      </c>
      <c r="F16" t="s">
        <v>71</v>
      </c>
      <c r="H16" t="s">
        <v>1830</v>
      </c>
    </row>
    <row r="17" spans="1:8" x14ac:dyDescent="0.25">
      <c r="A17" t="s">
        <v>333</v>
      </c>
      <c r="B17" t="s">
        <v>334</v>
      </c>
      <c r="D17" t="s">
        <v>331</v>
      </c>
      <c r="E17" t="s">
        <v>332</v>
      </c>
      <c r="F17" t="s">
        <v>71</v>
      </c>
      <c r="G17" t="s">
        <v>347</v>
      </c>
      <c r="H17" t="s">
        <v>335</v>
      </c>
    </row>
    <row r="18" spans="1:8" x14ac:dyDescent="0.25">
      <c r="A18" t="s">
        <v>84</v>
      </c>
      <c r="B18" t="s">
        <v>85</v>
      </c>
      <c r="C18" t="s">
        <v>87</v>
      </c>
      <c r="E18" t="s">
        <v>86</v>
      </c>
      <c r="F18" t="s">
        <v>78</v>
      </c>
      <c r="G18" t="s">
        <v>88</v>
      </c>
      <c r="H18" t="s">
        <v>89</v>
      </c>
    </row>
    <row r="19" spans="1:8" x14ac:dyDescent="0.25">
      <c r="A19" t="s">
        <v>854</v>
      </c>
      <c r="B19" t="s">
        <v>855</v>
      </c>
      <c r="C19" t="s">
        <v>857</v>
      </c>
      <c r="E19" t="s">
        <v>166</v>
      </c>
      <c r="F19" t="s">
        <v>71</v>
      </c>
      <c r="H19" t="s">
        <v>856</v>
      </c>
    </row>
    <row r="20" spans="1:8" x14ac:dyDescent="0.25">
      <c r="A20" t="s">
        <v>206</v>
      </c>
      <c r="B20" t="s">
        <v>207</v>
      </c>
      <c r="C20" t="s">
        <v>208</v>
      </c>
      <c r="E20" t="s">
        <v>209</v>
      </c>
      <c r="F20" t="s">
        <v>77</v>
      </c>
      <c r="G20" t="s">
        <v>210</v>
      </c>
      <c r="H20" t="s">
        <v>211</v>
      </c>
    </row>
    <row r="21" spans="1:8" x14ac:dyDescent="0.25">
      <c r="A21" t="s">
        <v>1363</v>
      </c>
      <c r="B21" t="s">
        <v>1364</v>
      </c>
      <c r="C21" t="s">
        <v>1365</v>
      </c>
      <c r="E21" t="s">
        <v>98</v>
      </c>
      <c r="F21" t="s">
        <v>71</v>
      </c>
      <c r="H21" t="s">
        <v>1366</v>
      </c>
    </row>
    <row r="22" spans="1:8" x14ac:dyDescent="0.25">
      <c r="A22" t="s">
        <v>2621</v>
      </c>
      <c r="B22" t="s">
        <v>2622</v>
      </c>
      <c r="C22" t="s">
        <v>2761</v>
      </c>
      <c r="E22" t="s">
        <v>322</v>
      </c>
      <c r="F22" t="s">
        <v>77</v>
      </c>
      <c r="G22" t="s">
        <v>2762</v>
      </c>
      <c r="H22" t="s">
        <v>2623</v>
      </c>
    </row>
    <row r="23" spans="1:8" x14ac:dyDescent="0.25">
      <c r="A23" t="s">
        <v>613</v>
      </c>
      <c r="B23" t="s">
        <v>614</v>
      </c>
      <c r="C23" t="s">
        <v>615</v>
      </c>
      <c r="D23" t="s">
        <v>366</v>
      </c>
      <c r="E23" t="s">
        <v>98</v>
      </c>
      <c r="F23" t="s">
        <v>71</v>
      </c>
      <c r="G23" t="s">
        <v>616</v>
      </c>
      <c r="H23" t="s">
        <v>617</v>
      </c>
    </row>
    <row r="24" spans="1:8" x14ac:dyDescent="0.25">
      <c r="A24" t="s">
        <v>436</v>
      </c>
      <c r="B24" t="s">
        <v>437</v>
      </c>
      <c r="C24" t="s">
        <v>438</v>
      </c>
      <c r="E24" t="s">
        <v>86</v>
      </c>
      <c r="F24" t="s">
        <v>78</v>
      </c>
      <c r="H24" t="s">
        <v>439</v>
      </c>
    </row>
    <row r="25" spans="1:8" x14ac:dyDescent="0.25">
      <c r="A25" t="s">
        <v>445</v>
      </c>
      <c r="B25" t="s">
        <v>446</v>
      </c>
      <c r="C25" t="s">
        <v>447</v>
      </c>
      <c r="D25" t="s">
        <v>448</v>
      </c>
      <c r="E25" t="s">
        <v>322</v>
      </c>
      <c r="F25" t="s">
        <v>77</v>
      </c>
      <c r="H25" t="s">
        <v>449</v>
      </c>
    </row>
    <row r="26" spans="1:8" x14ac:dyDescent="0.25">
      <c r="A26" t="s">
        <v>769</v>
      </c>
      <c r="B26" t="s">
        <v>770</v>
      </c>
      <c r="C26" t="s">
        <v>771</v>
      </c>
      <c r="D26" t="s">
        <v>772</v>
      </c>
      <c r="E26" t="s">
        <v>98</v>
      </c>
      <c r="F26" t="s">
        <v>71</v>
      </c>
      <c r="G26" t="s">
        <v>773</v>
      </c>
      <c r="H26" t="s">
        <v>774</v>
      </c>
    </row>
    <row r="27" spans="1:8" x14ac:dyDescent="0.25">
      <c r="A27" t="s">
        <v>2251</v>
      </c>
      <c r="B27" t="s">
        <v>2252</v>
      </c>
      <c r="C27" t="s">
        <v>2253</v>
      </c>
      <c r="E27" t="s">
        <v>98</v>
      </c>
      <c r="F27" t="s">
        <v>71</v>
      </c>
      <c r="H27" t="s">
        <v>2254</v>
      </c>
    </row>
    <row r="28" spans="1:8" x14ac:dyDescent="0.25">
      <c r="A28" t="s">
        <v>2206</v>
      </c>
      <c r="B28" t="s">
        <v>2207</v>
      </c>
      <c r="E28" t="s">
        <v>2208</v>
      </c>
      <c r="F28" t="s">
        <v>77</v>
      </c>
      <c r="G28" t="s">
        <v>2234</v>
      </c>
      <c r="H28" t="s">
        <v>2209</v>
      </c>
    </row>
    <row r="29" spans="1:8" x14ac:dyDescent="0.25">
      <c r="A29" t="s">
        <v>2206</v>
      </c>
      <c r="B29" t="s">
        <v>2233</v>
      </c>
      <c r="E29" t="s">
        <v>2208</v>
      </c>
      <c r="F29" t="s">
        <v>77</v>
      </c>
      <c r="G29" t="s">
        <v>2234</v>
      </c>
      <c r="H29" t="s">
        <v>2235</v>
      </c>
    </row>
    <row r="30" spans="1:8" x14ac:dyDescent="0.25">
      <c r="A30" t="s">
        <v>2375</v>
      </c>
      <c r="B30" t="s">
        <v>966</v>
      </c>
      <c r="C30" t="s">
        <v>2376</v>
      </c>
      <c r="E30" t="s">
        <v>98</v>
      </c>
      <c r="F30" t="s">
        <v>71</v>
      </c>
      <c r="H30" t="s">
        <v>2377</v>
      </c>
    </row>
    <row r="31" spans="1:8" x14ac:dyDescent="0.25">
      <c r="A31" t="s">
        <v>423</v>
      </c>
      <c r="B31" t="s">
        <v>424</v>
      </c>
      <c r="C31" t="s">
        <v>940</v>
      </c>
      <c r="D31" t="s">
        <v>941</v>
      </c>
      <c r="E31" t="s">
        <v>98</v>
      </c>
      <c r="F31" t="s">
        <v>71</v>
      </c>
      <c r="H31" t="s">
        <v>942</v>
      </c>
    </row>
    <row r="32" spans="1:8" x14ac:dyDescent="0.25">
      <c r="A32" t="s">
        <v>1451</v>
      </c>
      <c r="B32" t="s">
        <v>1452</v>
      </c>
      <c r="D32" t="s">
        <v>2163</v>
      </c>
      <c r="E32" t="s">
        <v>332</v>
      </c>
      <c r="F32" t="s">
        <v>71</v>
      </c>
      <c r="G32" t="s">
        <v>1453</v>
      </c>
      <c r="H32" t="s">
        <v>1454</v>
      </c>
    </row>
    <row r="33" spans="1:9" x14ac:dyDescent="0.25">
      <c r="A33" t="s">
        <v>980</v>
      </c>
      <c r="B33" t="s">
        <v>981</v>
      </c>
      <c r="C33" t="s">
        <v>982</v>
      </c>
      <c r="D33" t="s">
        <v>983</v>
      </c>
      <c r="E33" t="s">
        <v>984</v>
      </c>
      <c r="F33" t="s">
        <v>71</v>
      </c>
      <c r="G33" t="s">
        <v>985</v>
      </c>
      <c r="H33" t="s">
        <v>986</v>
      </c>
    </row>
    <row r="34" spans="1:9" x14ac:dyDescent="0.25">
      <c r="A34" t="s">
        <v>67</v>
      </c>
      <c r="B34" t="s">
        <v>68</v>
      </c>
      <c r="C34" t="s">
        <v>69</v>
      </c>
      <c r="F34" t="s">
        <v>71</v>
      </c>
      <c r="H34" t="s">
        <v>154</v>
      </c>
    </row>
    <row r="35" spans="1:9" x14ac:dyDescent="0.25">
      <c r="A35" t="s">
        <v>67</v>
      </c>
      <c r="B35" t="s">
        <v>130</v>
      </c>
      <c r="C35" t="s">
        <v>131</v>
      </c>
      <c r="F35" t="s">
        <v>71</v>
      </c>
      <c r="H35" t="s">
        <v>387</v>
      </c>
    </row>
    <row r="36" spans="1:9" x14ac:dyDescent="0.25">
      <c r="A36" t="s">
        <v>1155</v>
      </c>
      <c r="B36" t="s">
        <v>1156</v>
      </c>
      <c r="C36" t="s">
        <v>1158</v>
      </c>
      <c r="E36" t="s">
        <v>98</v>
      </c>
      <c r="F36" t="s">
        <v>71</v>
      </c>
      <c r="H36" t="s">
        <v>1157</v>
      </c>
    </row>
    <row r="37" spans="1:9" x14ac:dyDescent="0.25">
      <c r="A37" t="s">
        <v>2640</v>
      </c>
      <c r="B37" t="s">
        <v>2639</v>
      </c>
      <c r="C37" t="s">
        <v>2643</v>
      </c>
      <c r="E37" t="s">
        <v>2641</v>
      </c>
      <c r="F37" t="s">
        <v>71</v>
      </c>
      <c r="G37" t="s">
        <v>2642</v>
      </c>
    </row>
    <row r="38" spans="1:9" x14ac:dyDescent="0.25">
      <c r="A38" t="s">
        <v>2021</v>
      </c>
      <c r="B38" t="s">
        <v>814</v>
      </c>
      <c r="C38" t="s">
        <v>2022</v>
      </c>
      <c r="D38" t="s">
        <v>1690</v>
      </c>
      <c r="E38" t="s">
        <v>98</v>
      </c>
      <c r="F38" t="s">
        <v>71</v>
      </c>
      <c r="H38" t="s">
        <v>2023</v>
      </c>
    </row>
    <row r="39" spans="1:9" x14ac:dyDescent="0.25">
      <c r="A39" t="s">
        <v>2095</v>
      </c>
      <c r="B39" t="s">
        <v>414</v>
      </c>
      <c r="C39" t="s">
        <v>2096</v>
      </c>
      <c r="D39" t="s">
        <v>2097</v>
      </c>
      <c r="E39" t="s">
        <v>2098</v>
      </c>
      <c r="F39" t="s">
        <v>79</v>
      </c>
      <c r="G39" t="s">
        <v>2099</v>
      </c>
      <c r="H39" t="s">
        <v>2100</v>
      </c>
    </row>
    <row r="40" spans="1:9" x14ac:dyDescent="0.25">
      <c r="A40" t="s">
        <v>377</v>
      </c>
      <c r="B40" t="s">
        <v>91</v>
      </c>
      <c r="C40" t="s">
        <v>1539</v>
      </c>
      <c r="D40" t="s">
        <v>1540</v>
      </c>
      <c r="E40" t="s">
        <v>98</v>
      </c>
      <c r="F40" t="s">
        <v>71</v>
      </c>
      <c r="G40" t="s">
        <v>1541</v>
      </c>
      <c r="H40" t="s">
        <v>388</v>
      </c>
    </row>
    <row r="41" spans="1:9" x14ac:dyDescent="0.25">
      <c r="A41" t="s">
        <v>734</v>
      </c>
      <c r="B41" t="s">
        <v>735</v>
      </c>
    </row>
    <row r="42" spans="1:9" x14ac:dyDescent="0.25">
      <c r="A42" t="s">
        <v>1075</v>
      </c>
      <c r="B42" t="s">
        <v>1074</v>
      </c>
      <c r="C42" t="s">
        <v>1078</v>
      </c>
      <c r="D42" t="s">
        <v>97</v>
      </c>
      <c r="E42" t="s">
        <v>98</v>
      </c>
      <c r="F42" t="s">
        <v>77</v>
      </c>
      <c r="G42" t="s">
        <v>1077</v>
      </c>
      <c r="H42" t="s">
        <v>1076</v>
      </c>
    </row>
    <row r="43" spans="1:9" x14ac:dyDescent="0.25">
      <c r="A43" t="s">
        <v>965</v>
      </c>
      <c r="B43" t="s">
        <v>966</v>
      </c>
      <c r="E43" t="s">
        <v>166</v>
      </c>
      <c r="F43" t="s">
        <v>71</v>
      </c>
      <c r="H43" t="s">
        <v>967</v>
      </c>
    </row>
    <row r="44" spans="1:9" x14ac:dyDescent="0.25">
      <c r="A44" t="s">
        <v>834</v>
      </c>
      <c r="B44" t="s">
        <v>835</v>
      </c>
      <c r="C44" t="s">
        <v>836</v>
      </c>
      <c r="D44" t="s">
        <v>837</v>
      </c>
      <c r="E44" t="s">
        <v>98</v>
      </c>
      <c r="F44" t="s">
        <v>71</v>
      </c>
      <c r="G44" t="s">
        <v>838</v>
      </c>
      <c r="H44" t="s">
        <v>839</v>
      </c>
    </row>
    <row r="45" spans="1:9" x14ac:dyDescent="0.25">
      <c r="A45" t="s">
        <v>637</v>
      </c>
      <c r="B45" t="s">
        <v>212</v>
      </c>
      <c r="F45" t="s">
        <v>77</v>
      </c>
    </row>
    <row r="46" spans="1:9" x14ac:dyDescent="0.25">
      <c r="A46" t="s">
        <v>1013</v>
      </c>
      <c r="B46" t="s">
        <v>1014</v>
      </c>
      <c r="C46" t="s">
        <v>1015</v>
      </c>
      <c r="D46" t="s">
        <v>1016</v>
      </c>
      <c r="E46" t="s">
        <v>98</v>
      </c>
      <c r="F46" t="s">
        <v>71</v>
      </c>
      <c r="G46" t="s">
        <v>1017</v>
      </c>
      <c r="H46" t="s">
        <v>1018</v>
      </c>
    </row>
    <row r="47" spans="1:9" x14ac:dyDescent="0.25">
      <c r="A47" t="s">
        <v>108</v>
      </c>
      <c r="B47" t="s">
        <v>109</v>
      </c>
      <c r="E47" t="s">
        <v>110</v>
      </c>
      <c r="F47" t="s">
        <v>71</v>
      </c>
      <c r="H47" t="s">
        <v>152</v>
      </c>
      <c r="I47" t="s">
        <v>153</v>
      </c>
    </row>
    <row r="48" spans="1:9" x14ac:dyDescent="0.25">
      <c r="A48" t="s">
        <v>972</v>
      </c>
      <c r="B48" t="s">
        <v>351</v>
      </c>
      <c r="E48" t="s">
        <v>98</v>
      </c>
      <c r="F48" t="s">
        <v>71</v>
      </c>
      <c r="H48" t="s">
        <v>973</v>
      </c>
    </row>
    <row r="49" spans="1:10" x14ac:dyDescent="0.25">
      <c r="A49" t="s">
        <v>1036</v>
      </c>
      <c r="B49" t="s">
        <v>1035</v>
      </c>
      <c r="C49" t="s">
        <v>1033</v>
      </c>
      <c r="D49" t="s">
        <v>1032</v>
      </c>
      <c r="E49" t="s">
        <v>98</v>
      </c>
      <c r="F49" t="s">
        <v>71</v>
      </c>
      <c r="G49" t="s">
        <v>1034</v>
      </c>
      <c r="H49" t="s">
        <v>1037</v>
      </c>
    </row>
    <row r="50" spans="1:10" x14ac:dyDescent="0.25">
      <c r="A50" t="s">
        <v>779</v>
      </c>
      <c r="B50" t="s">
        <v>780</v>
      </c>
    </row>
    <row r="51" spans="1:10" x14ac:dyDescent="0.25">
      <c r="A51" t="s">
        <v>2542</v>
      </c>
      <c r="B51" t="s">
        <v>2543</v>
      </c>
      <c r="C51" t="s">
        <v>2544</v>
      </c>
      <c r="E51" t="s">
        <v>960</v>
      </c>
      <c r="F51" t="s">
        <v>28</v>
      </c>
      <c r="G51" t="s">
        <v>2545</v>
      </c>
      <c r="H51" t="s">
        <v>2546</v>
      </c>
    </row>
    <row r="52" spans="1:10" x14ac:dyDescent="0.25">
      <c r="A52" t="s">
        <v>740</v>
      </c>
      <c r="B52" t="s">
        <v>741</v>
      </c>
      <c r="C52" t="s">
        <v>742</v>
      </c>
      <c r="D52" t="s">
        <v>743</v>
      </c>
      <c r="E52" t="s">
        <v>417</v>
      </c>
      <c r="F52" t="s">
        <v>71</v>
      </c>
      <c r="G52" t="s">
        <v>744</v>
      </c>
      <c r="H52" t="s">
        <v>765</v>
      </c>
    </row>
    <row r="53" spans="1:10" x14ac:dyDescent="0.25">
      <c r="A53" t="s">
        <v>1422</v>
      </c>
      <c r="B53" t="s">
        <v>1423</v>
      </c>
      <c r="E53" t="s">
        <v>166</v>
      </c>
      <c r="F53" t="s">
        <v>71</v>
      </c>
      <c r="H53" t="s">
        <v>1424</v>
      </c>
    </row>
    <row r="54" spans="1:10" x14ac:dyDescent="0.25">
      <c r="A54" t="s">
        <v>956</v>
      </c>
      <c r="B54" t="s">
        <v>957</v>
      </c>
      <c r="E54" t="s">
        <v>98</v>
      </c>
      <c r="F54" t="s">
        <v>71</v>
      </c>
      <c r="H54" t="s">
        <v>958</v>
      </c>
    </row>
    <row r="55" spans="1:10" x14ac:dyDescent="0.25">
      <c r="A55" t="s">
        <v>1687</v>
      </c>
      <c r="B55" t="s">
        <v>1688</v>
      </c>
      <c r="C55" t="s">
        <v>1689</v>
      </c>
      <c r="D55" t="s">
        <v>1690</v>
      </c>
      <c r="E55" t="s">
        <v>98</v>
      </c>
      <c r="F55" t="s">
        <v>71</v>
      </c>
      <c r="H55" t="s">
        <v>1691</v>
      </c>
      <c r="J55" s="45" t="s">
        <v>1686</v>
      </c>
    </row>
    <row r="56" spans="1:10" x14ac:dyDescent="0.25">
      <c r="A56" t="s">
        <v>319</v>
      </c>
      <c r="B56" t="s">
        <v>320</v>
      </c>
      <c r="C56" t="s">
        <v>321</v>
      </c>
      <c r="E56" t="s">
        <v>322</v>
      </c>
      <c r="F56" t="s">
        <v>77</v>
      </c>
      <c r="G56" t="s">
        <v>323</v>
      </c>
      <c r="H56" t="s">
        <v>324</v>
      </c>
    </row>
    <row r="57" spans="1:10" x14ac:dyDescent="0.25">
      <c r="A57" t="s">
        <v>361</v>
      </c>
      <c r="B57" t="s">
        <v>362</v>
      </c>
      <c r="C57" t="s">
        <v>365</v>
      </c>
      <c r="D57" t="s">
        <v>366</v>
      </c>
      <c r="E57" t="s">
        <v>98</v>
      </c>
      <c r="F57" t="s">
        <v>71</v>
      </c>
      <c r="G57" t="s">
        <v>364</v>
      </c>
      <c r="H57" t="s">
        <v>363</v>
      </c>
    </row>
    <row r="58" spans="1:10" x14ac:dyDescent="0.25">
      <c r="A58" t="s">
        <v>1631</v>
      </c>
      <c r="B58" t="s">
        <v>1630</v>
      </c>
      <c r="C58" t="s">
        <v>1634</v>
      </c>
      <c r="E58" t="s">
        <v>1633</v>
      </c>
      <c r="F58" t="s">
        <v>77</v>
      </c>
      <c r="G58" t="s">
        <v>1635</v>
      </c>
      <c r="H58" t="s">
        <v>1632</v>
      </c>
    </row>
    <row r="59" spans="1:10" x14ac:dyDescent="0.25">
      <c r="A59" t="s">
        <v>2184</v>
      </c>
      <c r="B59" t="s">
        <v>2185</v>
      </c>
      <c r="C59" t="s">
        <v>1829</v>
      </c>
      <c r="E59" t="s">
        <v>98</v>
      </c>
      <c r="F59" t="s">
        <v>71</v>
      </c>
      <c r="G59" t="s">
        <v>2186</v>
      </c>
      <c r="H59" t="s">
        <v>2187</v>
      </c>
    </row>
    <row r="60" spans="1:10" x14ac:dyDescent="0.25">
      <c r="A60" t="s">
        <v>473</v>
      </c>
      <c r="B60" t="s">
        <v>472</v>
      </c>
      <c r="C60" t="s">
        <v>476</v>
      </c>
      <c r="E60" t="s">
        <v>98</v>
      </c>
      <c r="F60" t="s">
        <v>71</v>
      </c>
      <c r="G60" t="s">
        <v>475</v>
      </c>
      <c r="H60" t="s">
        <v>474</v>
      </c>
    </row>
    <row r="61" spans="1:10" x14ac:dyDescent="0.25">
      <c r="A61" t="s">
        <v>683</v>
      </c>
      <c r="B61" t="s">
        <v>684</v>
      </c>
      <c r="C61" t="s">
        <v>685</v>
      </c>
      <c r="D61" t="s">
        <v>686</v>
      </c>
      <c r="E61" t="s">
        <v>687</v>
      </c>
      <c r="F61" t="s">
        <v>71</v>
      </c>
      <c r="G61" t="s">
        <v>688</v>
      </c>
      <c r="H61" t="s">
        <v>689</v>
      </c>
    </row>
    <row r="62" spans="1:10" x14ac:dyDescent="0.25">
      <c r="A62" t="s">
        <v>1654</v>
      </c>
      <c r="B62" t="s">
        <v>1655</v>
      </c>
      <c r="C62" t="s">
        <v>1656</v>
      </c>
      <c r="D62" t="s">
        <v>1657</v>
      </c>
      <c r="E62" t="s">
        <v>98</v>
      </c>
      <c r="F62" t="s">
        <v>71</v>
      </c>
      <c r="H62" t="s">
        <v>1658</v>
      </c>
    </row>
    <row r="63" spans="1:10" x14ac:dyDescent="0.25">
      <c r="A63" t="s">
        <v>1659</v>
      </c>
      <c r="B63" t="s">
        <v>1660</v>
      </c>
      <c r="C63" t="s">
        <v>1661</v>
      </c>
      <c r="E63" t="s">
        <v>322</v>
      </c>
      <c r="F63" t="s">
        <v>77</v>
      </c>
      <c r="G63" t="s">
        <v>1662</v>
      </c>
      <c r="H63" t="s">
        <v>1663</v>
      </c>
    </row>
    <row r="64" spans="1:10" x14ac:dyDescent="0.25">
      <c r="A64" t="s">
        <v>186</v>
      </c>
      <c r="B64" t="s">
        <v>177</v>
      </c>
      <c r="C64" t="s">
        <v>178</v>
      </c>
      <c r="D64" t="s">
        <v>179</v>
      </c>
      <c r="E64" t="s">
        <v>98</v>
      </c>
      <c r="F64" t="s">
        <v>71</v>
      </c>
      <c r="G64" t="s">
        <v>180</v>
      </c>
      <c r="H64" t="s">
        <v>181</v>
      </c>
    </row>
    <row r="65" spans="1:8" x14ac:dyDescent="0.25">
      <c r="A65" t="s">
        <v>251</v>
      </c>
      <c r="B65" t="s">
        <v>250</v>
      </c>
      <c r="C65" t="s">
        <v>252</v>
      </c>
      <c r="E65" t="s">
        <v>253</v>
      </c>
      <c r="F65" t="s">
        <v>77</v>
      </c>
      <c r="G65" t="s">
        <v>254</v>
      </c>
      <c r="H65" t="s">
        <v>255</v>
      </c>
    </row>
    <row r="66" spans="1:8" x14ac:dyDescent="0.25">
      <c r="A66" t="s">
        <v>807</v>
      </c>
      <c r="B66" t="s">
        <v>808</v>
      </c>
      <c r="C66" t="s">
        <v>810</v>
      </c>
      <c r="E66" t="s">
        <v>98</v>
      </c>
      <c r="F66" t="s">
        <v>71</v>
      </c>
      <c r="G66" t="s">
        <v>891</v>
      </c>
      <c r="H66" t="s">
        <v>811</v>
      </c>
    </row>
    <row r="67" spans="1:8" x14ac:dyDescent="0.25">
      <c r="A67" t="s">
        <v>196</v>
      </c>
      <c r="B67" t="s">
        <v>197</v>
      </c>
      <c r="C67" t="s">
        <v>198</v>
      </c>
      <c r="E67" t="s">
        <v>98</v>
      </c>
      <c r="F67" t="s">
        <v>71</v>
      </c>
    </row>
    <row r="68" spans="1:8" x14ac:dyDescent="0.25">
      <c r="A68" t="s">
        <v>1436</v>
      </c>
      <c r="B68" t="s">
        <v>1437</v>
      </c>
      <c r="E68" t="s">
        <v>1438</v>
      </c>
      <c r="F68" t="s">
        <v>71</v>
      </c>
      <c r="G68" t="s">
        <v>1439</v>
      </c>
      <c r="H68" t="s">
        <v>1440</v>
      </c>
    </row>
    <row r="69" spans="1:8" x14ac:dyDescent="0.25">
      <c r="A69" t="s">
        <v>1776</v>
      </c>
      <c r="B69" t="s">
        <v>1777</v>
      </c>
      <c r="D69" t="s">
        <v>1778</v>
      </c>
      <c r="E69" t="s">
        <v>98</v>
      </c>
      <c r="F69" t="s">
        <v>71</v>
      </c>
      <c r="G69" t="s">
        <v>1779</v>
      </c>
      <c r="H69" t="s">
        <v>1780</v>
      </c>
    </row>
    <row r="70" spans="1:8" x14ac:dyDescent="0.25">
      <c r="A70" t="s">
        <v>349</v>
      </c>
      <c r="B70" t="s">
        <v>348</v>
      </c>
      <c r="E70" t="s">
        <v>960</v>
      </c>
      <c r="F70" t="s">
        <v>28</v>
      </c>
      <c r="H70" t="s">
        <v>350</v>
      </c>
    </row>
    <row r="71" spans="1:8" x14ac:dyDescent="0.25">
      <c r="A71" t="s">
        <v>349</v>
      </c>
      <c r="B71" t="s">
        <v>351</v>
      </c>
      <c r="E71" t="s">
        <v>960</v>
      </c>
      <c r="F71" t="s">
        <v>28</v>
      </c>
      <c r="H71" t="s">
        <v>352</v>
      </c>
    </row>
    <row r="72" spans="1:8" x14ac:dyDescent="0.25">
      <c r="A72" t="s">
        <v>709</v>
      </c>
      <c r="B72" t="s">
        <v>710</v>
      </c>
      <c r="C72" t="s">
        <v>706</v>
      </c>
      <c r="D72" t="s">
        <v>707</v>
      </c>
      <c r="E72" t="s">
        <v>98</v>
      </c>
      <c r="F72" t="s">
        <v>71</v>
      </c>
      <c r="H72" t="s">
        <v>708</v>
      </c>
    </row>
    <row r="73" spans="1:8" x14ac:dyDescent="0.25">
      <c r="A73" t="s">
        <v>394</v>
      </c>
      <c r="B73" t="s">
        <v>395</v>
      </c>
      <c r="C73" t="s">
        <v>390</v>
      </c>
      <c r="D73" t="s">
        <v>391</v>
      </c>
      <c r="E73" t="s">
        <v>253</v>
      </c>
      <c r="F73" t="s">
        <v>77</v>
      </c>
      <c r="G73" t="s">
        <v>392</v>
      </c>
      <c r="H73" t="s">
        <v>393</v>
      </c>
    </row>
    <row r="74" spans="1:8" x14ac:dyDescent="0.25">
      <c r="A74" t="s">
        <v>394</v>
      </c>
      <c r="B74" t="s">
        <v>1550</v>
      </c>
      <c r="C74" t="s">
        <v>1551</v>
      </c>
      <c r="E74" t="s">
        <v>1438</v>
      </c>
      <c r="F74" t="s">
        <v>71</v>
      </c>
      <c r="H74" t="s">
        <v>1552</v>
      </c>
    </row>
    <row r="75" spans="1:8" x14ac:dyDescent="0.25">
      <c r="A75" t="s">
        <v>2553</v>
      </c>
      <c r="B75" t="s">
        <v>2554</v>
      </c>
      <c r="C75" t="s">
        <v>2555</v>
      </c>
      <c r="E75" t="s">
        <v>98</v>
      </c>
      <c r="F75" t="s">
        <v>71</v>
      </c>
      <c r="H75" t="s">
        <v>2556</v>
      </c>
    </row>
    <row r="76" spans="1:8" x14ac:dyDescent="0.25">
      <c r="A76" t="s">
        <v>1380</v>
      </c>
      <c r="B76" t="s">
        <v>535</v>
      </c>
      <c r="C76" t="s">
        <v>1381</v>
      </c>
      <c r="D76" t="s">
        <v>1382</v>
      </c>
      <c r="E76" t="s">
        <v>98</v>
      </c>
      <c r="F76" t="s">
        <v>71</v>
      </c>
      <c r="G76" t="s">
        <v>1383</v>
      </c>
      <c r="H76" t="s">
        <v>1384</v>
      </c>
    </row>
    <row r="77" spans="1:8" x14ac:dyDescent="0.25">
      <c r="A77" t="s">
        <v>94</v>
      </c>
      <c r="B77" t="s">
        <v>95</v>
      </c>
      <c r="C77" t="s">
        <v>96</v>
      </c>
      <c r="D77" t="s">
        <v>97</v>
      </c>
      <c r="E77" t="s">
        <v>98</v>
      </c>
      <c r="F77" t="s">
        <v>77</v>
      </c>
      <c r="H77" t="s">
        <v>99</v>
      </c>
    </row>
    <row r="78" spans="1:8" x14ac:dyDescent="0.25">
      <c r="A78" t="s">
        <v>2504</v>
      </c>
      <c r="B78" t="s">
        <v>2503</v>
      </c>
      <c r="C78" t="s">
        <v>2505</v>
      </c>
      <c r="E78" t="s">
        <v>166</v>
      </c>
      <c r="F78" t="s">
        <v>71</v>
      </c>
      <c r="G78" t="s">
        <v>2506</v>
      </c>
      <c r="H78" t="s">
        <v>2507</v>
      </c>
    </row>
    <row r="79" spans="1:8" x14ac:dyDescent="0.25">
      <c r="A79" t="s">
        <v>90</v>
      </c>
      <c r="B79" t="s">
        <v>91</v>
      </c>
      <c r="E79" t="s">
        <v>92</v>
      </c>
      <c r="F79" t="s">
        <v>71</v>
      </c>
      <c r="H79" t="s">
        <v>93</v>
      </c>
    </row>
    <row r="80" spans="1:8" x14ac:dyDescent="0.25">
      <c r="A80" t="s">
        <v>2793</v>
      </c>
      <c r="B80" t="s">
        <v>2792</v>
      </c>
      <c r="E80" t="s">
        <v>2794</v>
      </c>
      <c r="F80" t="s">
        <v>77</v>
      </c>
      <c r="H80" t="s">
        <v>2795</v>
      </c>
    </row>
  </sheetData>
  <sortState xmlns:xlrd2="http://schemas.microsoft.com/office/spreadsheetml/2017/richdata2" ref="A2:J79">
    <sortCondition ref="A2:A79"/>
  </sortState>
  <hyperlinks>
    <hyperlink ref="J55" r:id="rId1" display="mailto:marijanazrncevic@gmail.com" xr:uid="{E25A7584-F478-4F08-B727-40DE11AC7759}"/>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FEC5071-CBCD-42A5-948F-3208559E4E51}">
          <x14:formula1>
            <xm:f>LIST!$D$17:$D$21</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0B5E-565F-4193-BDBB-D8EF625B45F1}">
  <dimension ref="A1:P2"/>
  <sheetViews>
    <sheetView workbookViewId="0">
      <pane xSplit="1" ySplit="1" topLeftCell="B2" activePane="bottomRight" state="frozen"/>
      <selection pane="topRight" activeCell="B1" sqref="B1"/>
      <selection pane="bottomLeft" activeCell="A2" sqref="A2"/>
      <selection pane="bottomRight" activeCell="L2" sqref="L2"/>
    </sheetView>
  </sheetViews>
  <sheetFormatPr defaultRowHeight="15" x14ac:dyDescent="0.25"/>
  <cols>
    <col min="1" max="1" width="27.42578125" style="18" customWidth="1"/>
    <col min="2" max="2" width="16.5703125" style="18" customWidth="1"/>
    <col min="3" max="3" width="21.28515625" style="18" customWidth="1"/>
    <col min="4" max="4" width="26.28515625" style="18" customWidth="1"/>
    <col min="5" max="5" width="25.7109375" style="19" customWidth="1"/>
    <col min="6" max="6" width="23.7109375" style="19" customWidth="1"/>
    <col min="7" max="7" width="21.42578125" style="19" customWidth="1"/>
    <col min="8" max="8" width="19.140625" style="19" customWidth="1"/>
    <col min="9" max="9" width="18.42578125" style="19" customWidth="1"/>
    <col min="10" max="10" width="13" style="19" customWidth="1"/>
    <col min="11" max="11" width="21.7109375" style="19" customWidth="1"/>
    <col min="12" max="13" width="23.7109375" style="19" customWidth="1"/>
    <col min="14" max="14" width="19.5703125" style="19" customWidth="1"/>
    <col min="15" max="15" width="19.28515625" style="19" customWidth="1"/>
    <col min="16" max="16" width="44.140625" style="21" customWidth="1"/>
  </cols>
  <sheetData>
    <row r="1" spans="1:16" s="13" customFormat="1" ht="30" x14ac:dyDescent="0.25">
      <c r="A1" s="22" t="s">
        <v>76</v>
      </c>
      <c r="B1" s="22" t="s">
        <v>64</v>
      </c>
      <c r="C1" s="22" t="s">
        <v>277</v>
      </c>
      <c r="D1" s="22" t="s">
        <v>278</v>
      </c>
      <c r="E1" s="23" t="s">
        <v>37</v>
      </c>
      <c r="F1" s="24" t="s">
        <v>2610</v>
      </c>
      <c r="G1" s="24" t="s">
        <v>2611</v>
      </c>
      <c r="H1" s="24" t="s">
        <v>107</v>
      </c>
      <c r="I1" s="23" t="s">
        <v>2612</v>
      </c>
      <c r="J1" s="23" t="s">
        <v>3</v>
      </c>
      <c r="K1" s="23" t="s">
        <v>4</v>
      </c>
      <c r="L1" s="23" t="s">
        <v>49</v>
      </c>
      <c r="M1" s="23" t="s">
        <v>54</v>
      </c>
      <c r="N1" s="23" t="s">
        <v>80</v>
      </c>
      <c r="O1" s="23" t="s">
        <v>40</v>
      </c>
      <c r="P1" s="25" t="s">
        <v>11</v>
      </c>
    </row>
    <row r="2" spans="1:16" x14ac:dyDescent="0.25">
      <c r="F2" s="20"/>
      <c r="G2" s="20"/>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2937EBBF-AB7C-4707-9D54-3003103B9D3F}">
          <x14:formula1>
            <xm:f>LIST!$C$17:$C$19</xm:f>
          </x14:formula1>
          <xm:sqref>N2:N1048576</xm:sqref>
        </x14:dataValidation>
        <x14:dataValidation type="list" allowBlank="1" showInputMessage="1" showErrorMessage="1" xr:uid="{1535934F-9D89-4755-8577-BBD72C0D06F3}">
          <x14:formula1>
            <xm:f>LIST!$A$17:$A$20</xm:f>
          </x14:formula1>
          <xm:sqref>O2:O1048576</xm:sqref>
        </x14:dataValidation>
        <x14:dataValidation type="list" allowBlank="1" showInputMessage="1" showErrorMessage="1" xr:uid="{85FD3C01-C5DE-4327-99D1-CDEC57CDFF9D}">
          <x14:formula1>
            <xm:f>LIST!$D$17:$D$21</xm:f>
          </x14:formula1>
          <xm:sqref>B2:B1048576</xm:sqref>
        </x14:dataValidation>
        <x14:dataValidation type="list" allowBlank="1" showInputMessage="1" showErrorMessage="1" xr:uid="{8A1CCF9C-0471-47C6-99CC-8BD339497EFD}">
          <x14:formula1>
            <xm:f>LIST!$A$23:$A$26</xm:f>
          </x14:formula1>
          <xm:sqref>L2:L1048576</xm:sqref>
        </x14:dataValidation>
        <x14:dataValidation type="list" allowBlank="1" showInputMessage="1" showErrorMessage="1" xr:uid="{7F15087D-4EC0-47F7-B033-62DF61683335}">
          <x14:formula1>
            <xm:f>LIST!$B$23:$B$25</xm:f>
          </x14:formula1>
          <xm:sqref>M2:M1048576</xm:sqref>
        </x14:dataValidation>
        <x14:dataValidation type="list" allowBlank="1" showInputMessage="1" showErrorMessage="1" xr:uid="{96A027A0-1376-46BC-9974-B7B57E763082}">
          <x14:formula1>
            <xm:f>LIST!$C$3:$C$6</xm:f>
          </x14:formula1>
          <xm:sqref>I2:I1048576</xm:sqref>
        </x14:dataValidation>
        <x14:dataValidation type="list" allowBlank="1" showInputMessage="1" showErrorMessage="1" xr:uid="{B1BA5D6C-2779-42A9-AC44-38C52A036568}">
          <x14:formula1>
            <xm:f>LIST!$G$4:$G$9</xm:f>
          </x14:formula1>
          <xm:sqref>E1:E1048576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1CD62-48A0-401D-BF5A-2FBF58CB0F1B}">
  <dimension ref="A1:C6"/>
  <sheetViews>
    <sheetView workbookViewId="0">
      <selection activeCell="C5" sqref="C5"/>
    </sheetView>
  </sheetViews>
  <sheetFormatPr defaultRowHeight="15" x14ac:dyDescent="0.25"/>
  <cols>
    <col min="1" max="1" width="23.85546875" customWidth="1"/>
    <col min="2" max="2" width="31" customWidth="1"/>
    <col min="3" max="3" width="33.140625" customWidth="1"/>
  </cols>
  <sheetData>
    <row r="1" spans="1:3" x14ac:dyDescent="0.25">
      <c r="A1" t="s">
        <v>340</v>
      </c>
      <c r="B1" t="s">
        <v>341</v>
      </c>
      <c r="C1" t="s">
        <v>342</v>
      </c>
    </row>
    <row r="2" spans="1:3" x14ac:dyDescent="0.25">
      <c r="A2" t="s">
        <v>345</v>
      </c>
      <c r="B2" t="s">
        <v>346</v>
      </c>
    </row>
    <row r="3" spans="1:3" x14ac:dyDescent="0.25">
      <c r="A3" t="s">
        <v>1301</v>
      </c>
      <c r="B3" t="s">
        <v>1302</v>
      </c>
    </row>
    <row r="4" spans="1:3" x14ac:dyDescent="0.25">
      <c r="A4" t="s">
        <v>487</v>
      </c>
      <c r="B4" t="s">
        <v>488</v>
      </c>
      <c r="C4" s="45" t="s">
        <v>2808</v>
      </c>
    </row>
    <row r="5" spans="1:3" x14ac:dyDescent="0.25">
      <c r="A5" t="s">
        <v>1497</v>
      </c>
      <c r="B5" t="s">
        <v>1498</v>
      </c>
    </row>
    <row r="6" spans="1:3" x14ac:dyDescent="0.25">
      <c r="A6" t="s">
        <v>343</v>
      </c>
      <c r="B6" t="s">
        <v>344</v>
      </c>
    </row>
  </sheetData>
  <sortState xmlns:xlrd2="http://schemas.microsoft.com/office/spreadsheetml/2017/richdata2" ref="A2:C6">
    <sortCondition ref="A2:A6"/>
  </sortState>
  <hyperlinks>
    <hyperlink ref="C4" r:id="rId1" xr:uid="{DBA17712-9EF0-4A3E-AA0C-B8E91DFA53B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75A9-633E-4A6B-9B97-665315248858}">
  <dimension ref="A1:H104"/>
  <sheetViews>
    <sheetView zoomScale="98" zoomScaleNormal="98" workbookViewId="0">
      <pane ySplit="1" topLeftCell="A88" activePane="bottomLeft" state="frozen"/>
      <selection pane="bottomLeft" activeCell="A102" sqref="A102"/>
    </sheetView>
  </sheetViews>
  <sheetFormatPr defaultRowHeight="15" x14ac:dyDescent="0.25"/>
  <cols>
    <col min="1" max="1" width="13.85546875" style="13" customWidth="1"/>
    <col min="2" max="2" width="57.5703125" style="4" customWidth="1"/>
    <col min="3" max="3" width="18.140625" style="4" customWidth="1"/>
    <col min="4" max="4" width="16.140625" style="4" customWidth="1"/>
    <col min="5" max="5" width="18.42578125" style="4" customWidth="1"/>
    <col min="6" max="6" width="18.140625" style="4" customWidth="1"/>
    <col min="7" max="7" width="18.5703125" style="4" customWidth="1"/>
    <col min="8" max="8" width="9.140625" style="4"/>
    <col min="9" max="9" width="23" customWidth="1"/>
    <col min="10" max="10" width="24.5703125" customWidth="1"/>
  </cols>
  <sheetData>
    <row r="1" spans="1:8" x14ac:dyDescent="0.25">
      <c r="A1" s="48" t="s">
        <v>505</v>
      </c>
      <c r="B1" s="1" t="s">
        <v>506</v>
      </c>
      <c r="C1" s="1" t="s">
        <v>21</v>
      </c>
      <c r="D1" s="1" t="s">
        <v>3</v>
      </c>
      <c r="E1" s="1" t="s">
        <v>2</v>
      </c>
      <c r="F1" s="1" t="s">
        <v>507</v>
      </c>
      <c r="G1" s="1" t="s">
        <v>610</v>
      </c>
      <c r="H1" s="4">
        <f>SUM(F2:F388)</f>
        <v>10240</v>
      </c>
    </row>
    <row r="2" spans="1:8" x14ac:dyDescent="0.25">
      <c r="A2" s="36">
        <v>45293</v>
      </c>
      <c r="B2" s="4" t="s">
        <v>1817</v>
      </c>
      <c r="C2" s="4" t="s">
        <v>16</v>
      </c>
      <c r="D2" s="4" t="s">
        <v>1322</v>
      </c>
      <c r="E2" s="4" t="s">
        <v>25</v>
      </c>
      <c r="F2" s="4">
        <v>110</v>
      </c>
    </row>
    <row r="3" spans="1:8" x14ac:dyDescent="0.25">
      <c r="A3" s="36">
        <v>45298</v>
      </c>
      <c r="B3" s="4" t="s">
        <v>1553</v>
      </c>
      <c r="C3" s="4" t="s">
        <v>311</v>
      </c>
      <c r="D3" s="4" t="s">
        <v>1557</v>
      </c>
      <c r="E3" s="4" t="s">
        <v>22</v>
      </c>
      <c r="F3" s="4">
        <v>80</v>
      </c>
    </row>
    <row r="4" spans="1:8" x14ac:dyDescent="0.25">
      <c r="A4" s="36">
        <v>45298</v>
      </c>
      <c r="B4" s="4" t="s">
        <v>1554</v>
      </c>
      <c r="C4" s="4" t="s">
        <v>311</v>
      </c>
      <c r="D4" s="4" t="s">
        <v>1557</v>
      </c>
      <c r="E4" s="4" t="s">
        <v>22</v>
      </c>
      <c r="F4" s="4">
        <v>80</v>
      </c>
    </row>
    <row r="5" spans="1:8" x14ac:dyDescent="0.25">
      <c r="A5" s="36">
        <v>45304</v>
      </c>
      <c r="B5" s="4" t="s">
        <v>1511</v>
      </c>
      <c r="C5" s="4" t="s">
        <v>16</v>
      </c>
      <c r="D5" s="4" t="s">
        <v>1961</v>
      </c>
      <c r="E5" s="4" t="s">
        <v>23</v>
      </c>
      <c r="F5" s="4">
        <v>120</v>
      </c>
    </row>
    <row r="6" spans="1:8" x14ac:dyDescent="0.25">
      <c r="A6" s="36">
        <v>45305</v>
      </c>
      <c r="B6" s="4" t="s">
        <v>1847</v>
      </c>
      <c r="C6" s="4" t="s">
        <v>311</v>
      </c>
      <c r="D6" s="4" t="s">
        <v>1933</v>
      </c>
      <c r="E6" s="4" t="s">
        <v>25</v>
      </c>
      <c r="F6" s="4">
        <v>120</v>
      </c>
    </row>
    <row r="7" spans="1:8" x14ac:dyDescent="0.25">
      <c r="A7" s="36">
        <v>45311</v>
      </c>
      <c r="B7" s="4" t="s">
        <v>1979</v>
      </c>
      <c r="C7" s="4" t="s">
        <v>18</v>
      </c>
      <c r="D7" s="4" t="s">
        <v>1983</v>
      </c>
      <c r="E7" s="4" t="s">
        <v>24</v>
      </c>
    </row>
    <row r="8" spans="1:8" x14ac:dyDescent="0.25">
      <c r="A8" s="36">
        <v>45313</v>
      </c>
      <c r="B8" s="4" t="s">
        <v>1903</v>
      </c>
      <c r="C8" s="4" t="s">
        <v>174</v>
      </c>
      <c r="D8" s="4" t="s">
        <v>2084</v>
      </c>
      <c r="E8" s="4" t="s">
        <v>25</v>
      </c>
      <c r="F8" s="4">
        <v>110</v>
      </c>
    </row>
    <row r="9" spans="1:8" x14ac:dyDescent="0.25">
      <c r="A9" s="36">
        <v>45314</v>
      </c>
      <c r="B9" s="4" t="s">
        <v>1907</v>
      </c>
      <c r="C9" s="4" t="s">
        <v>17</v>
      </c>
      <c r="D9" s="4" t="s">
        <v>2057</v>
      </c>
      <c r="E9" s="4" t="s">
        <v>24</v>
      </c>
      <c r="F9" s="4">
        <v>120</v>
      </c>
    </row>
    <row r="10" spans="1:8" x14ac:dyDescent="0.25">
      <c r="A10" s="36">
        <v>45318</v>
      </c>
      <c r="B10" s="4" t="s">
        <v>303</v>
      </c>
      <c r="C10" s="4" t="s">
        <v>15</v>
      </c>
      <c r="D10" s="4" t="s">
        <v>2085</v>
      </c>
      <c r="E10" s="4" t="s">
        <v>25</v>
      </c>
      <c r="F10" s="4">
        <v>120</v>
      </c>
    </row>
    <row r="11" spans="1:8" x14ac:dyDescent="0.25">
      <c r="A11" s="36">
        <v>45319</v>
      </c>
      <c r="B11" s="4" t="s">
        <v>1644</v>
      </c>
      <c r="C11" s="4" t="s">
        <v>17</v>
      </c>
      <c r="D11" s="4" t="s">
        <v>2172</v>
      </c>
      <c r="E11" s="4" t="s">
        <v>25</v>
      </c>
      <c r="F11" s="4">
        <v>120</v>
      </c>
    </row>
    <row r="12" spans="1:8" x14ac:dyDescent="0.25">
      <c r="A12" s="36">
        <v>45324</v>
      </c>
      <c r="B12" s="4" t="s">
        <v>1526</v>
      </c>
      <c r="C12" s="4" t="s">
        <v>20</v>
      </c>
      <c r="D12" s="4" t="s">
        <v>1978</v>
      </c>
      <c r="E12" s="4" t="s">
        <v>24</v>
      </c>
      <c r="F12" s="4">
        <v>150</v>
      </c>
    </row>
    <row r="13" spans="1:8" x14ac:dyDescent="0.25">
      <c r="A13" s="36">
        <v>45325</v>
      </c>
      <c r="B13" s="4" t="s">
        <v>892</v>
      </c>
      <c r="C13" s="4" t="s">
        <v>17</v>
      </c>
      <c r="D13" s="4" t="s">
        <v>1576</v>
      </c>
      <c r="E13" s="4" t="s">
        <v>24</v>
      </c>
      <c r="F13" s="4">
        <v>120</v>
      </c>
    </row>
    <row r="14" spans="1:8" x14ac:dyDescent="0.25">
      <c r="A14" s="36">
        <v>45325</v>
      </c>
      <c r="B14" s="4" t="s">
        <v>892</v>
      </c>
      <c r="C14" s="4" t="s">
        <v>17</v>
      </c>
      <c r="D14" s="4" t="s">
        <v>1576</v>
      </c>
      <c r="E14" s="4" t="s">
        <v>24</v>
      </c>
      <c r="F14" s="4">
        <v>120</v>
      </c>
    </row>
    <row r="15" spans="1:8" x14ac:dyDescent="0.25">
      <c r="A15" s="36">
        <v>45330</v>
      </c>
      <c r="B15" s="4" t="s">
        <v>1649</v>
      </c>
      <c r="C15" s="4" t="s">
        <v>18</v>
      </c>
      <c r="D15" s="11">
        <v>44457</v>
      </c>
      <c r="E15" s="4" t="s">
        <v>25</v>
      </c>
      <c r="F15" s="4">
        <v>120</v>
      </c>
    </row>
    <row r="16" spans="1:8" x14ac:dyDescent="0.25">
      <c r="A16" s="36">
        <v>45332</v>
      </c>
      <c r="B16" s="4" t="s">
        <v>1920</v>
      </c>
      <c r="C16" s="4" t="s">
        <v>311</v>
      </c>
      <c r="D16" s="4" t="s">
        <v>1938</v>
      </c>
      <c r="E16" s="4" t="s">
        <v>22</v>
      </c>
      <c r="F16" s="4">
        <v>120</v>
      </c>
    </row>
    <row r="17" spans="1:6" x14ac:dyDescent="0.25">
      <c r="A17" s="36">
        <v>45341</v>
      </c>
      <c r="B17" s="4" t="s">
        <v>1921</v>
      </c>
      <c r="C17" s="4" t="s">
        <v>15</v>
      </c>
      <c r="D17" s="4" t="s">
        <v>1938</v>
      </c>
      <c r="E17" s="4" t="s">
        <v>23</v>
      </c>
      <c r="F17" s="4">
        <v>100</v>
      </c>
    </row>
    <row r="18" spans="1:6" x14ac:dyDescent="0.25">
      <c r="A18" s="36">
        <v>45342</v>
      </c>
      <c r="B18" s="4" t="s">
        <v>2046</v>
      </c>
      <c r="C18" s="4" t="s">
        <v>20</v>
      </c>
      <c r="D18" s="4" t="s">
        <v>2047</v>
      </c>
      <c r="E18" s="4" t="s">
        <v>22</v>
      </c>
      <c r="F18" s="4">
        <v>150</v>
      </c>
    </row>
    <row r="19" spans="1:6" x14ac:dyDescent="0.25">
      <c r="A19" s="36">
        <v>45348</v>
      </c>
      <c r="B19" s="4" t="s">
        <v>1846</v>
      </c>
      <c r="C19" s="4" t="s">
        <v>127</v>
      </c>
      <c r="D19" s="4" t="s">
        <v>2044</v>
      </c>
      <c r="E19" s="4" t="s">
        <v>25</v>
      </c>
      <c r="F19" s="4">
        <v>130</v>
      </c>
    </row>
    <row r="20" spans="1:6" x14ac:dyDescent="0.25">
      <c r="A20" s="36">
        <v>45353</v>
      </c>
      <c r="B20" s="4" t="s">
        <v>2066</v>
      </c>
      <c r="C20" s="4" t="s">
        <v>17</v>
      </c>
      <c r="D20" s="4" t="s">
        <v>2176</v>
      </c>
      <c r="E20" s="4" t="s">
        <v>25</v>
      </c>
      <c r="F20" s="4">
        <v>120</v>
      </c>
    </row>
    <row r="21" spans="1:6" x14ac:dyDescent="0.25">
      <c r="A21" s="36">
        <v>45353</v>
      </c>
      <c r="B21" s="4" t="s">
        <v>2092</v>
      </c>
      <c r="C21" s="4" t="s">
        <v>17</v>
      </c>
      <c r="D21" s="4" t="s">
        <v>2176</v>
      </c>
      <c r="E21" s="4" t="s">
        <v>25</v>
      </c>
      <c r="F21" s="4">
        <v>120</v>
      </c>
    </row>
    <row r="22" spans="1:6" x14ac:dyDescent="0.25">
      <c r="A22" s="36">
        <v>45353</v>
      </c>
      <c r="B22" s="4" t="s">
        <v>2067</v>
      </c>
      <c r="C22" s="4" t="s">
        <v>17</v>
      </c>
      <c r="D22" s="4" t="s">
        <v>2176</v>
      </c>
      <c r="E22" s="4" t="s">
        <v>25</v>
      </c>
      <c r="F22" s="4">
        <v>120</v>
      </c>
    </row>
    <row r="23" spans="1:6" x14ac:dyDescent="0.25">
      <c r="A23" s="36">
        <v>45354</v>
      </c>
      <c r="B23" s="4" t="s">
        <v>2178</v>
      </c>
      <c r="C23" s="4" t="s">
        <v>18</v>
      </c>
      <c r="D23" s="4" t="s">
        <v>1330</v>
      </c>
      <c r="E23" s="4" t="s">
        <v>25</v>
      </c>
      <c r="F23" s="4">
        <v>120</v>
      </c>
    </row>
    <row r="24" spans="1:6" x14ac:dyDescent="0.25">
      <c r="A24" s="36">
        <v>45357</v>
      </c>
      <c r="B24" s="4" t="s">
        <v>1682</v>
      </c>
      <c r="C24" s="4" t="s">
        <v>16</v>
      </c>
      <c r="D24" s="4" t="s">
        <v>2175</v>
      </c>
      <c r="E24" s="4" t="s">
        <v>24</v>
      </c>
      <c r="F24" s="4">
        <v>120</v>
      </c>
    </row>
    <row r="25" spans="1:6" x14ac:dyDescent="0.25">
      <c r="A25" s="36">
        <v>45359</v>
      </c>
      <c r="B25" s="4" t="s">
        <v>1837</v>
      </c>
      <c r="C25" s="4" t="s">
        <v>17</v>
      </c>
      <c r="D25" s="4" t="s">
        <v>2114</v>
      </c>
      <c r="E25" s="4" t="s">
        <v>25</v>
      </c>
      <c r="F25" s="4">
        <v>120</v>
      </c>
    </row>
    <row r="26" spans="1:6" x14ac:dyDescent="0.25">
      <c r="A26" s="36">
        <v>45370</v>
      </c>
      <c r="B26" s="4" t="s">
        <v>2068</v>
      </c>
      <c r="C26" s="4" t="s">
        <v>17</v>
      </c>
      <c r="D26" s="4" t="s">
        <v>2173</v>
      </c>
      <c r="E26" s="4" t="s">
        <v>25</v>
      </c>
      <c r="F26" s="4">
        <v>140</v>
      </c>
    </row>
    <row r="27" spans="1:6" x14ac:dyDescent="0.25">
      <c r="A27" s="36">
        <v>45371</v>
      </c>
      <c r="B27" s="4" t="s">
        <v>2078</v>
      </c>
      <c r="C27" s="4" t="s">
        <v>174</v>
      </c>
      <c r="D27" s="4" t="s">
        <v>2165</v>
      </c>
      <c r="E27" s="4" t="s">
        <v>24</v>
      </c>
      <c r="F27" s="4">
        <v>120</v>
      </c>
    </row>
    <row r="28" spans="1:6" x14ac:dyDescent="0.25">
      <c r="A28" s="36">
        <v>45373</v>
      </c>
      <c r="B28" s="4" t="s">
        <v>295</v>
      </c>
      <c r="C28" s="4" t="s">
        <v>16</v>
      </c>
      <c r="D28" s="11">
        <v>44704</v>
      </c>
      <c r="E28" s="4" t="s">
        <v>24</v>
      </c>
      <c r="F28" s="4">
        <v>120</v>
      </c>
    </row>
    <row r="29" spans="1:6" x14ac:dyDescent="0.25">
      <c r="A29" s="36">
        <v>45377</v>
      </c>
      <c r="B29" s="4" t="s">
        <v>2072</v>
      </c>
      <c r="C29" s="4" t="s">
        <v>20</v>
      </c>
      <c r="D29" s="4" t="s">
        <v>2224</v>
      </c>
      <c r="E29" s="4" t="s">
        <v>25</v>
      </c>
      <c r="F29" s="4">
        <v>120</v>
      </c>
    </row>
    <row r="30" spans="1:6" x14ac:dyDescent="0.25">
      <c r="A30" s="36">
        <v>45380</v>
      </c>
      <c r="B30" s="4" t="s">
        <v>2127</v>
      </c>
      <c r="C30" s="4" t="s">
        <v>20</v>
      </c>
      <c r="D30" s="4" t="s">
        <v>2221</v>
      </c>
      <c r="E30" s="4" t="s">
        <v>25</v>
      </c>
      <c r="F30" s="4">
        <v>120</v>
      </c>
    </row>
    <row r="31" spans="1:6" x14ac:dyDescent="0.25">
      <c r="A31" s="36">
        <v>45381</v>
      </c>
      <c r="B31" s="4" t="s">
        <v>2081</v>
      </c>
      <c r="C31" s="4" t="s">
        <v>311</v>
      </c>
      <c r="D31" s="4" t="s">
        <v>2222</v>
      </c>
      <c r="E31" s="4" t="s">
        <v>24</v>
      </c>
      <c r="F31" s="4">
        <v>120</v>
      </c>
    </row>
    <row r="32" spans="1:6" x14ac:dyDescent="0.25">
      <c r="A32" s="36">
        <v>45381</v>
      </c>
      <c r="B32" s="4" t="s">
        <v>2074</v>
      </c>
      <c r="C32" s="4" t="s">
        <v>127</v>
      </c>
      <c r="D32" s="11">
        <v>45208</v>
      </c>
      <c r="E32" s="4" t="s">
        <v>23</v>
      </c>
      <c r="F32" s="4">
        <v>80</v>
      </c>
    </row>
    <row r="33" spans="1:6" x14ac:dyDescent="0.25">
      <c r="A33" s="36">
        <v>45381</v>
      </c>
      <c r="B33" s="4" t="s">
        <v>2075</v>
      </c>
      <c r="C33" s="4" t="s">
        <v>127</v>
      </c>
      <c r="D33" s="11">
        <v>45208</v>
      </c>
      <c r="E33" s="4" t="s">
        <v>23</v>
      </c>
      <c r="F33" s="4">
        <v>80</v>
      </c>
    </row>
    <row r="34" spans="1:6" x14ac:dyDescent="0.25">
      <c r="A34" s="36">
        <v>45393</v>
      </c>
      <c r="B34" s="4" t="s">
        <v>1701</v>
      </c>
      <c r="C34" s="4" t="s">
        <v>17</v>
      </c>
      <c r="D34" s="11" t="s">
        <v>2213</v>
      </c>
      <c r="E34" s="4" t="s">
        <v>25</v>
      </c>
      <c r="F34" s="4">
        <v>120</v>
      </c>
    </row>
    <row r="35" spans="1:6" x14ac:dyDescent="0.25">
      <c r="A35" s="36">
        <v>45393</v>
      </c>
      <c r="B35" s="4" t="s">
        <v>1702</v>
      </c>
      <c r="C35" s="4" t="s">
        <v>17</v>
      </c>
      <c r="D35" s="11" t="s">
        <v>2213</v>
      </c>
      <c r="E35" s="4" t="s">
        <v>25</v>
      </c>
      <c r="F35" s="4">
        <v>120</v>
      </c>
    </row>
    <row r="36" spans="1:6" x14ac:dyDescent="0.25">
      <c r="A36" s="36">
        <v>45395</v>
      </c>
      <c r="B36" s="4" t="s">
        <v>2217</v>
      </c>
      <c r="C36" s="4" t="s">
        <v>14</v>
      </c>
      <c r="E36" s="4" t="s">
        <v>25</v>
      </c>
      <c r="F36" s="4">
        <v>120</v>
      </c>
    </row>
    <row r="37" spans="1:6" x14ac:dyDescent="0.25">
      <c r="A37" s="36">
        <v>45436</v>
      </c>
      <c r="B37" s="4" t="s">
        <v>2262</v>
      </c>
      <c r="C37" s="4" t="s">
        <v>18</v>
      </c>
      <c r="D37" s="4" t="s">
        <v>2277</v>
      </c>
      <c r="E37" s="4" t="s">
        <v>25</v>
      </c>
      <c r="F37" s="4">
        <v>120</v>
      </c>
    </row>
    <row r="38" spans="1:6" x14ac:dyDescent="0.25">
      <c r="A38" s="36">
        <v>45436</v>
      </c>
      <c r="B38" s="4" t="s">
        <v>2131</v>
      </c>
      <c r="C38" s="4" t="s">
        <v>311</v>
      </c>
      <c r="D38" s="4" t="s">
        <v>2278</v>
      </c>
      <c r="E38" s="4" t="s">
        <v>24</v>
      </c>
      <c r="F38" s="4">
        <v>120</v>
      </c>
    </row>
    <row r="39" spans="1:6" x14ac:dyDescent="0.25">
      <c r="A39" s="36">
        <v>45439</v>
      </c>
      <c r="B39" s="4" t="s">
        <v>2286</v>
      </c>
      <c r="C39" s="4" t="s">
        <v>16</v>
      </c>
      <c r="D39" s="4" t="s">
        <v>2287</v>
      </c>
      <c r="E39" s="4" t="s">
        <v>25</v>
      </c>
      <c r="F39" s="4">
        <v>120</v>
      </c>
    </row>
    <row r="40" spans="1:6" x14ac:dyDescent="0.25">
      <c r="A40" s="36">
        <v>45447</v>
      </c>
      <c r="B40" s="4" t="s">
        <v>1898</v>
      </c>
      <c r="C40" s="4" t="s">
        <v>14</v>
      </c>
      <c r="D40" s="4" t="s">
        <v>2296</v>
      </c>
      <c r="E40" s="4" t="s">
        <v>24</v>
      </c>
      <c r="F40" s="4">
        <v>120</v>
      </c>
    </row>
    <row r="41" spans="1:6" x14ac:dyDescent="0.25">
      <c r="A41" s="36">
        <v>45446</v>
      </c>
      <c r="B41" s="4" t="s">
        <v>2035</v>
      </c>
      <c r="C41" s="4" t="s">
        <v>16</v>
      </c>
      <c r="E41" s="4" t="s">
        <v>24</v>
      </c>
      <c r="F41" s="4">
        <v>120</v>
      </c>
    </row>
    <row r="42" spans="1:6" x14ac:dyDescent="0.25">
      <c r="A42" s="36">
        <v>45459</v>
      </c>
      <c r="B42" s="4" t="s">
        <v>2308</v>
      </c>
      <c r="C42" s="4" t="s">
        <v>16</v>
      </c>
      <c r="D42" s="4" t="s">
        <v>2312</v>
      </c>
      <c r="E42" s="4" t="s">
        <v>2227</v>
      </c>
      <c r="F42" s="4">
        <v>80</v>
      </c>
    </row>
    <row r="43" spans="1:6" x14ac:dyDescent="0.25">
      <c r="A43" s="36">
        <v>45457</v>
      </c>
      <c r="B43" s="4" t="s">
        <v>2201</v>
      </c>
      <c r="C43" s="4" t="s">
        <v>311</v>
      </c>
      <c r="D43" s="4" t="s">
        <v>2313</v>
      </c>
      <c r="E43" s="4" t="s">
        <v>2228</v>
      </c>
      <c r="F43" s="4">
        <v>120</v>
      </c>
    </row>
    <row r="44" spans="1:6" x14ac:dyDescent="0.25">
      <c r="A44" s="36">
        <v>45462</v>
      </c>
      <c r="B44" s="4" t="s">
        <v>2069</v>
      </c>
      <c r="C44" s="4" t="s">
        <v>17</v>
      </c>
      <c r="D44" s="4" t="s">
        <v>2323</v>
      </c>
      <c r="E44" s="4" t="s">
        <v>25</v>
      </c>
      <c r="F44" s="4">
        <v>120</v>
      </c>
    </row>
    <row r="45" spans="1:6" x14ac:dyDescent="0.25">
      <c r="A45" s="36">
        <v>45472</v>
      </c>
      <c r="B45" s="4" t="s">
        <v>2371</v>
      </c>
      <c r="C45" s="4" t="s">
        <v>16</v>
      </c>
      <c r="D45" s="4" t="s">
        <v>2203</v>
      </c>
      <c r="E45" s="4" t="s">
        <v>2228</v>
      </c>
      <c r="F45" s="4">
        <v>80</v>
      </c>
    </row>
    <row r="46" spans="1:6" x14ac:dyDescent="0.25">
      <c r="A46" s="36">
        <v>45472</v>
      </c>
      <c r="B46" s="4" t="s">
        <v>2351</v>
      </c>
      <c r="C46" s="4" t="s">
        <v>127</v>
      </c>
      <c r="D46" s="4" t="s">
        <v>2203</v>
      </c>
      <c r="E46" s="4" t="s">
        <v>2227</v>
      </c>
      <c r="F46" s="4">
        <v>80</v>
      </c>
    </row>
    <row r="47" spans="1:6" x14ac:dyDescent="0.25">
      <c r="A47" s="36">
        <v>45472</v>
      </c>
      <c r="B47" s="4" t="s">
        <v>2350</v>
      </c>
      <c r="C47" s="4" t="s">
        <v>14</v>
      </c>
      <c r="D47" s="4" t="s">
        <v>2203</v>
      </c>
      <c r="E47" s="4" t="s">
        <v>2228</v>
      </c>
      <c r="F47" s="4">
        <v>80</v>
      </c>
    </row>
    <row r="48" spans="1:6" x14ac:dyDescent="0.25">
      <c r="A48" s="36">
        <v>45451</v>
      </c>
      <c r="B48" s="4" t="s">
        <v>2399</v>
      </c>
      <c r="C48" s="4" t="s">
        <v>17</v>
      </c>
      <c r="D48" s="4" t="s">
        <v>2400</v>
      </c>
      <c r="E48" s="4" t="s">
        <v>24</v>
      </c>
      <c r="F48" s="4">
        <v>120</v>
      </c>
    </row>
    <row r="49" spans="1:6" x14ac:dyDescent="0.25">
      <c r="A49" s="36">
        <v>45485</v>
      </c>
      <c r="B49" s="4" t="s">
        <v>2338</v>
      </c>
      <c r="C49" s="4" t="s">
        <v>15</v>
      </c>
      <c r="D49" s="4" t="s">
        <v>2329</v>
      </c>
      <c r="E49" s="4" t="s">
        <v>2227</v>
      </c>
      <c r="F49" s="4">
        <v>80</v>
      </c>
    </row>
    <row r="50" spans="1:6" x14ac:dyDescent="0.25">
      <c r="A50" s="36">
        <v>45478</v>
      </c>
      <c r="B50" s="4" t="s">
        <v>2337</v>
      </c>
      <c r="C50" s="4" t="s">
        <v>17</v>
      </c>
      <c r="D50" s="4" t="s">
        <v>2329</v>
      </c>
      <c r="E50" s="4" t="s">
        <v>2228</v>
      </c>
      <c r="F50" s="4">
        <v>80</v>
      </c>
    </row>
    <row r="51" spans="1:6" x14ac:dyDescent="0.25">
      <c r="A51" s="36">
        <v>45479</v>
      </c>
      <c r="B51" s="4" t="s">
        <v>2394</v>
      </c>
      <c r="C51" s="4" t="s">
        <v>17</v>
      </c>
      <c r="D51" s="4" t="s">
        <v>2312</v>
      </c>
      <c r="E51" s="4" t="s">
        <v>24</v>
      </c>
      <c r="F51" s="4">
        <v>60</v>
      </c>
    </row>
    <row r="52" spans="1:6" x14ac:dyDescent="0.25">
      <c r="A52" s="36">
        <v>45479</v>
      </c>
      <c r="B52" s="4" t="s">
        <v>1674</v>
      </c>
      <c r="C52" s="4" t="s">
        <v>17</v>
      </c>
      <c r="D52" s="4" t="s">
        <v>2312</v>
      </c>
      <c r="E52" s="4" t="s">
        <v>24</v>
      </c>
      <c r="F52" s="4">
        <v>60</v>
      </c>
    </row>
    <row r="53" spans="1:6" x14ac:dyDescent="0.25">
      <c r="A53" s="36">
        <v>45486</v>
      </c>
      <c r="B53" s="4" t="s">
        <v>2248</v>
      </c>
      <c r="C53" s="4" t="s">
        <v>17</v>
      </c>
      <c r="D53" s="4" t="s">
        <v>2406</v>
      </c>
      <c r="E53" s="4" t="s">
        <v>2228</v>
      </c>
      <c r="F53" s="4">
        <v>80</v>
      </c>
    </row>
    <row r="54" spans="1:6" x14ac:dyDescent="0.25">
      <c r="A54" s="36">
        <v>45478</v>
      </c>
      <c r="B54" s="4" t="s">
        <v>2246</v>
      </c>
      <c r="C54" s="4" t="s">
        <v>16</v>
      </c>
      <c r="D54" s="4" t="s">
        <v>2406</v>
      </c>
      <c r="E54" s="4" t="s">
        <v>2227</v>
      </c>
      <c r="F54" s="4">
        <v>80</v>
      </c>
    </row>
    <row r="55" spans="1:6" x14ac:dyDescent="0.25">
      <c r="A55" s="36">
        <v>45472</v>
      </c>
      <c r="B55" s="4" t="s">
        <v>2411</v>
      </c>
      <c r="C55" s="4" t="s">
        <v>15</v>
      </c>
      <c r="D55" s="4" t="s">
        <v>2202</v>
      </c>
      <c r="E55" s="4" t="s">
        <v>2227</v>
      </c>
      <c r="F55" s="4">
        <v>80</v>
      </c>
    </row>
    <row r="56" spans="1:6" x14ac:dyDescent="0.25">
      <c r="A56" s="36">
        <v>45489</v>
      </c>
      <c r="B56" s="4" t="s">
        <v>2407</v>
      </c>
      <c r="C56" s="4" t="s">
        <v>17</v>
      </c>
      <c r="D56" s="4" t="s">
        <v>2202</v>
      </c>
      <c r="E56" s="4" t="s">
        <v>2228</v>
      </c>
      <c r="F56" s="4">
        <v>80</v>
      </c>
    </row>
    <row r="57" spans="1:6" x14ac:dyDescent="0.25">
      <c r="A57" s="36">
        <v>45465</v>
      </c>
      <c r="B57" s="4" t="s">
        <v>2415</v>
      </c>
      <c r="C57" s="4" t="s">
        <v>311</v>
      </c>
      <c r="D57" s="4" t="s">
        <v>2418</v>
      </c>
      <c r="E57" s="4" t="s">
        <v>2228</v>
      </c>
      <c r="F57" s="4">
        <v>80</v>
      </c>
    </row>
    <row r="58" spans="1:6" x14ac:dyDescent="0.25">
      <c r="A58" s="36">
        <v>45465</v>
      </c>
      <c r="B58" s="4" t="s">
        <v>2420</v>
      </c>
      <c r="C58" s="4" t="s">
        <v>20</v>
      </c>
      <c r="D58" s="4" t="s">
        <v>2418</v>
      </c>
      <c r="E58" s="4" t="s">
        <v>2228</v>
      </c>
      <c r="F58" s="4">
        <v>80</v>
      </c>
    </row>
    <row r="59" spans="1:6" x14ac:dyDescent="0.25">
      <c r="A59" s="36">
        <v>45441</v>
      </c>
      <c r="B59" s="4" t="s">
        <v>2422</v>
      </c>
      <c r="C59" s="4" t="s">
        <v>311</v>
      </c>
      <c r="D59" s="4" t="s">
        <v>2425</v>
      </c>
      <c r="E59" s="4" t="s">
        <v>2227</v>
      </c>
      <c r="F59" s="4">
        <v>80</v>
      </c>
    </row>
    <row r="60" spans="1:6" x14ac:dyDescent="0.25">
      <c r="A60" s="36">
        <v>45465</v>
      </c>
      <c r="B60" s="4" t="s">
        <v>2381</v>
      </c>
      <c r="C60" s="4" t="s">
        <v>1195</v>
      </c>
      <c r="D60" s="4" t="s">
        <v>2202</v>
      </c>
      <c r="E60" s="4" t="s">
        <v>2228</v>
      </c>
      <c r="F60" s="4">
        <v>80</v>
      </c>
    </row>
    <row r="61" spans="1:6" x14ac:dyDescent="0.25">
      <c r="A61" s="36">
        <v>45399</v>
      </c>
      <c r="B61" s="4" t="s">
        <v>1804</v>
      </c>
      <c r="C61" s="4" t="s">
        <v>17</v>
      </c>
      <c r="D61" s="4" t="s">
        <v>2428</v>
      </c>
      <c r="E61" s="4" t="s">
        <v>24</v>
      </c>
      <c r="F61" s="4">
        <v>120</v>
      </c>
    </row>
    <row r="62" spans="1:6" x14ac:dyDescent="0.25">
      <c r="A62" s="36">
        <v>45395</v>
      </c>
      <c r="B62" s="4" t="s">
        <v>2217</v>
      </c>
      <c r="C62" s="4" t="s">
        <v>14</v>
      </c>
      <c r="D62" s="4" t="s">
        <v>1870</v>
      </c>
      <c r="E62" s="4" t="s">
        <v>25</v>
      </c>
      <c r="F62" s="4">
        <v>120</v>
      </c>
    </row>
    <row r="63" spans="1:6" x14ac:dyDescent="0.25">
      <c r="A63" s="36">
        <v>45385</v>
      </c>
      <c r="B63" s="4" t="s">
        <v>2432</v>
      </c>
      <c r="C63" s="4" t="s">
        <v>311</v>
      </c>
      <c r="D63" s="4" t="s">
        <v>2441</v>
      </c>
      <c r="E63" s="4" t="s">
        <v>2227</v>
      </c>
      <c r="F63" s="4">
        <v>80</v>
      </c>
    </row>
    <row r="64" spans="1:6" x14ac:dyDescent="0.25">
      <c r="A64" s="36">
        <v>45481</v>
      </c>
      <c r="B64" s="4" t="s">
        <v>2247</v>
      </c>
      <c r="C64" s="4" t="s">
        <v>16</v>
      </c>
      <c r="D64" s="4" t="s">
        <v>2406</v>
      </c>
      <c r="E64" s="4" t="s">
        <v>2227</v>
      </c>
      <c r="F64" s="4">
        <v>80</v>
      </c>
    </row>
    <row r="65" spans="1:6" x14ac:dyDescent="0.25">
      <c r="A65" s="36">
        <v>45293</v>
      </c>
      <c r="B65" s="4" t="s">
        <v>2446</v>
      </c>
      <c r="C65" s="4" t="s">
        <v>17</v>
      </c>
      <c r="D65" s="4" t="s">
        <v>2261</v>
      </c>
      <c r="E65" s="4" t="s">
        <v>24</v>
      </c>
      <c r="F65" s="4">
        <v>110</v>
      </c>
    </row>
    <row r="66" spans="1:6" x14ac:dyDescent="0.25">
      <c r="A66" s="36">
        <v>45482</v>
      </c>
      <c r="B66" s="4" t="s">
        <v>2355</v>
      </c>
      <c r="C66" s="4" t="s">
        <v>20</v>
      </c>
      <c r="D66" s="4" t="s">
        <v>2521</v>
      </c>
      <c r="E66" s="4" t="s">
        <v>24</v>
      </c>
      <c r="F66" s="4">
        <v>120</v>
      </c>
    </row>
    <row r="67" spans="1:6" x14ac:dyDescent="0.25">
      <c r="A67" s="36">
        <v>45506</v>
      </c>
      <c r="B67" s="4" t="s">
        <v>2347</v>
      </c>
      <c r="C67" s="4" t="s">
        <v>127</v>
      </c>
      <c r="D67" s="4" t="s">
        <v>2348</v>
      </c>
      <c r="E67" s="4" t="s">
        <v>25</v>
      </c>
      <c r="F67" s="4">
        <v>120</v>
      </c>
    </row>
    <row r="68" spans="1:6" x14ac:dyDescent="0.25">
      <c r="A68" s="36">
        <v>45503</v>
      </c>
      <c r="B68" s="4" t="s">
        <v>2442</v>
      </c>
      <c r="C68" s="4" t="s">
        <v>174</v>
      </c>
      <c r="D68" s="4" t="s">
        <v>2619</v>
      </c>
      <c r="E68" s="4" t="s">
        <v>2228</v>
      </c>
      <c r="F68" s="4">
        <v>80</v>
      </c>
    </row>
    <row r="69" spans="1:6" x14ac:dyDescent="0.25">
      <c r="A69" s="36">
        <v>45514</v>
      </c>
      <c r="B69" s="4" t="s">
        <v>2628</v>
      </c>
      <c r="C69" s="4" t="s">
        <v>127</v>
      </c>
      <c r="D69" s="4" t="s">
        <v>2002</v>
      </c>
      <c r="E69" s="4" t="s">
        <v>25</v>
      </c>
      <c r="F69" s="4">
        <v>175</v>
      </c>
    </row>
    <row r="70" spans="1:6" x14ac:dyDescent="0.25">
      <c r="A70" s="36">
        <v>45514</v>
      </c>
      <c r="B70" s="4" t="s">
        <v>2075</v>
      </c>
      <c r="C70" s="4" t="s">
        <v>127</v>
      </c>
      <c r="D70" s="4" t="s">
        <v>2002</v>
      </c>
      <c r="E70" s="4" t="s">
        <v>25</v>
      </c>
      <c r="F70" s="4">
        <v>175</v>
      </c>
    </row>
    <row r="71" spans="1:6" x14ac:dyDescent="0.25">
      <c r="A71" s="36">
        <v>45510</v>
      </c>
      <c r="B71" s="4" t="s">
        <v>2295</v>
      </c>
      <c r="C71" s="4" t="s">
        <v>311</v>
      </c>
      <c r="D71" s="4" t="s">
        <v>2418</v>
      </c>
      <c r="E71" s="4" t="s">
        <v>2227</v>
      </c>
      <c r="F71" s="4">
        <v>150</v>
      </c>
    </row>
    <row r="72" spans="1:6" x14ac:dyDescent="0.25">
      <c r="A72" s="36">
        <v>45509</v>
      </c>
      <c r="B72" s="4" t="s">
        <v>2333</v>
      </c>
      <c r="C72" s="4" t="s">
        <v>311</v>
      </c>
      <c r="D72" s="4" t="s">
        <v>2335</v>
      </c>
      <c r="E72" s="4" t="s">
        <v>2228</v>
      </c>
      <c r="F72" s="4">
        <v>100</v>
      </c>
    </row>
    <row r="73" spans="1:6" x14ac:dyDescent="0.25">
      <c r="A73" s="36">
        <v>45506</v>
      </c>
      <c r="B73" s="4" t="s">
        <v>2332</v>
      </c>
      <c r="C73" s="4" t="s">
        <v>311</v>
      </c>
      <c r="D73" s="4" t="s">
        <v>2335</v>
      </c>
      <c r="E73" s="4" t="s">
        <v>2228</v>
      </c>
      <c r="F73" s="4">
        <v>80</v>
      </c>
    </row>
    <row r="74" spans="1:6" x14ac:dyDescent="0.25">
      <c r="A74" s="36">
        <v>45503</v>
      </c>
      <c r="B74" s="4" t="s">
        <v>2330</v>
      </c>
      <c r="C74" s="4" t="s">
        <v>311</v>
      </c>
      <c r="D74" s="4" t="s">
        <v>2335</v>
      </c>
      <c r="E74" s="4" t="s">
        <v>2228</v>
      </c>
      <c r="F74" s="4">
        <v>80</v>
      </c>
    </row>
    <row r="75" spans="1:6" x14ac:dyDescent="0.25">
      <c r="A75" s="36">
        <v>45503</v>
      </c>
      <c r="B75" s="4" t="s">
        <v>2331</v>
      </c>
      <c r="C75" s="4" t="s">
        <v>311</v>
      </c>
      <c r="D75" s="4" t="s">
        <v>2335</v>
      </c>
      <c r="E75" s="4" t="s">
        <v>2228</v>
      </c>
      <c r="F75" s="4">
        <v>80</v>
      </c>
    </row>
    <row r="76" spans="1:6" x14ac:dyDescent="0.25">
      <c r="A76" s="36">
        <v>45515</v>
      </c>
      <c r="B76" s="4" t="s">
        <v>2531</v>
      </c>
      <c r="C76" s="4" t="s">
        <v>17</v>
      </c>
      <c r="D76" s="4" t="s">
        <v>2645</v>
      </c>
      <c r="E76" s="4" t="s">
        <v>2227</v>
      </c>
      <c r="F76" s="4">
        <v>80</v>
      </c>
    </row>
    <row r="77" spans="1:6" x14ac:dyDescent="0.25">
      <c r="A77" s="36">
        <v>45522</v>
      </c>
      <c r="B77" s="4" t="s">
        <v>2373</v>
      </c>
      <c r="C77" s="4" t="s">
        <v>311</v>
      </c>
      <c r="D77" s="4" t="s">
        <v>2654</v>
      </c>
      <c r="E77" s="4" t="s">
        <v>2228</v>
      </c>
      <c r="F77" s="4">
        <v>80</v>
      </c>
    </row>
    <row r="78" spans="1:6" x14ac:dyDescent="0.25">
      <c r="A78" s="36">
        <v>45523</v>
      </c>
      <c r="B78" s="4" t="s">
        <v>2437</v>
      </c>
      <c r="C78" s="4" t="s">
        <v>17</v>
      </c>
      <c r="D78" s="4" t="s">
        <v>2661</v>
      </c>
      <c r="E78" s="4" t="s">
        <v>2228</v>
      </c>
      <c r="F78" s="4">
        <v>80</v>
      </c>
    </row>
    <row r="79" spans="1:6" x14ac:dyDescent="0.25">
      <c r="A79" s="36">
        <v>45523</v>
      </c>
      <c r="B79" s="4" t="s">
        <v>2532</v>
      </c>
      <c r="C79" s="4" t="s">
        <v>16</v>
      </c>
      <c r="D79" s="4" t="s">
        <v>2662</v>
      </c>
      <c r="E79" s="4" t="s">
        <v>2228</v>
      </c>
      <c r="F79" s="4">
        <v>80</v>
      </c>
    </row>
    <row r="80" spans="1:6" x14ac:dyDescent="0.25">
      <c r="A80" s="36">
        <v>45523</v>
      </c>
      <c r="B80" s="4" t="s">
        <v>2436</v>
      </c>
      <c r="C80" s="4" t="s">
        <v>311</v>
      </c>
      <c r="D80" s="4" t="s">
        <v>2661</v>
      </c>
      <c r="E80" s="4" t="s">
        <v>2228</v>
      </c>
      <c r="F80" s="4">
        <v>80</v>
      </c>
    </row>
    <row r="81" spans="1:6" x14ac:dyDescent="0.25">
      <c r="A81" s="36">
        <v>45517</v>
      </c>
      <c r="B81" s="4" t="s">
        <v>2435</v>
      </c>
      <c r="C81" s="4" t="s">
        <v>15</v>
      </c>
      <c r="D81" s="4" t="s">
        <v>2661</v>
      </c>
      <c r="E81" s="4" t="s">
        <v>2227</v>
      </c>
      <c r="F81" s="4">
        <v>80</v>
      </c>
    </row>
    <row r="82" spans="1:6" x14ac:dyDescent="0.25">
      <c r="A82" s="36">
        <v>45522</v>
      </c>
      <c r="B82" s="4" t="s">
        <v>2735</v>
      </c>
      <c r="C82" s="4" t="s">
        <v>17</v>
      </c>
      <c r="D82" s="4" t="s">
        <v>2738</v>
      </c>
      <c r="E82" s="4" t="s">
        <v>25</v>
      </c>
      <c r="F82" s="4">
        <v>0</v>
      </c>
    </row>
    <row r="83" spans="1:6" x14ac:dyDescent="0.25">
      <c r="A83" s="36">
        <v>45522</v>
      </c>
      <c r="B83" s="4" t="s">
        <v>2736</v>
      </c>
      <c r="C83" s="4" t="s">
        <v>20</v>
      </c>
      <c r="D83" s="4" t="s">
        <v>2738</v>
      </c>
      <c r="E83" s="4" t="s">
        <v>24</v>
      </c>
      <c r="F83" s="4">
        <v>0</v>
      </c>
    </row>
    <row r="84" spans="1:6" x14ac:dyDescent="0.25">
      <c r="A84" s="36">
        <v>45556</v>
      </c>
      <c r="B84" s="4" t="s">
        <v>2684</v>
      </c>
      <c r="C84" s="4" t="s">
        <v>311</v>
      </c>
      <c r="D84" s="4" t="s">
        <v>2739</v>
      </c>
      <c r="E84" s="4" t="s">
        <v>2227</v>
      </c>
      <c r="F84" s="4">
        <v>80</v>
      </c>
    </row>
    <row r="85" spans="1:6" x14ac:dyDescent="0.25">
      <c r="A85" s="36">
        <v>45537</v>
      </c>
      <c r="B85" s="4" t="s">
        <v>2677</v>
      </c>
      <c r="C85" s="4" t="s">
        <v>16</v>
      </c>
      <c r="D85" s="4" t="s">
        <v>2740</v>
      </c>
      <c r="E85" s="4" t="s">
        <v>25</v>
      </c>
      <c r="F85" s="4">
        <v>110</v>
      </c>
    </row>
    <row r="86" spans="1:6" x14ac:dyDescent="0.25">
      <c r="A86" s="36">
        <v>45537</v>
      </c>
      <c r="B86" s="4" t="s">
        <v>2679</v>
      </c>
      <c r="C86" s="4" t="s">
        <v>16</v>
      </c>
      <c r="D86" s="4" t="s">
        <v>2739</v>
      </c>
      <c r="E86" s="4" t="s">
        <v>24</v>
      </c>
      <c r="F86" s="4">
        <v>110</v>
      </c>
    </row>
    <row r="87" spans="1:6" x14ac:dyDescent="0.25">
      <c r="A87" s="36">
        <v>45537</v>
      </c>
      <c r="B87" s="4" t="s">
        <v>1304</v>
      </c>
      <c r="C87" s="4" t="s">
        <v>16</v>
      </c>
      <c r="D87" s="4" t="s">
        <v>2739</v>
      </c>
      <c r="E87" s="4" t="s">
        <v>2227</v>
      </c>
      <c r="F87" s="4">
        <v>80</v>
      </c>
    </row>
    <row r="88" spans="1:6" x14ac:dyDescent="0.25">
      <c r="A88" s="36">
        <v>45500</v>
      </c>
      <c r="B88" s="4" t="s">
        <v>2336</v>
      </c>
      <c r="C88" s="4" t="s">
        <v>17</v>
      </c>
      <c r="D88" s="4" t="s">
        <v>2329</v>
      </c>
      <c r="E88" s="4" t="s">
        <v>2228</v>
      </c>
      <c r="F88" s="4">
        <v>80</v>
      </c>
    </row>
    <row r="89" spans="1:6" x14ac:dyDescent="0.25">
      <c r="A89" s="36">
        <v>45490</v>
      </c>
      <c r="B89" s="4" t="s">
        <v>2408</v>
      </c>
      <c r="C89" s="4" t="s">
        <v>20</v>
      </c>
      <c r="D89" s="4" t="s">
        <v>2202</v>
      </c>
      <c r="E89" s="4" t="s">
        <v>2228</v>
      </c>
      <c r="F89" s="4">
        <v>80</v>
      </c>
    </row>
    <row r="90" spans="1:6" x14ac:dyDescent="0.25">
      <c r="A90" s="36">
        <v>45494</v>
      </c>
      <c r="B90" s="4" t="s">
        <v>2743</v>
      </c>
      <c r="C90" s="4" t="s">
        <v>18</v>
      </c>
      <c r="D90" s="4" t="s">
        <v>2202</v>
      </c>
      <c r="E90" s="4" t="s">
        <v>2227</v>
      </c>
      <c r="F90" s="4">
        <v>80</v>
      </c>
    </row>
    <row r="91" spans="1:6" x14ac:dyDescent="0.25">
      <c r="A91" s="36">
        <v>45511</v>
      </c>
      <c r="B91" s="4" t="s">
        <v>2742</v>
      </c>
      <c r="C91" s="4" t="s">
        <v>18</v>
      </c>
      <c r="D91" s="4" t="s">
        <v>2202</v>
      </c>
      <c r="E91" s="4" t="s">
        <v>2227</v>
      </c>
      <c r="F91" s="4">
        <v>80</v>
      </c>
    </row>
    <row r="92" spans="1:6" x14ac:dyDescent="0.25">
      <c r="A92" s="36">
        <v>45542</v>
      </c>
      <c r="B92" s="4" t="s">
        <v>2706</v>
      </c>
      <c r="C92" s="4" t="s">
        <v>20</v>
      </c>
      <c r="D92" s="4" t="s">
        <v>2744</v>
      </c>
      <c r="E92" s="4" t="s">
        <v>24</v>
      </c>
      <c r="F92" s="4">
        <v>120</v>
      </c>
    </row>
    <row r="93" spans="1:6" x14ac:dyDescent="0.25">
      <c r="A93" s="36">
        <v>45542</v>
      </c>
      <c r="B93" s="4" t="s">
        <v>2707</v>
      </c>
      <c r="C93" s="4" t="s">
        <v>20</v>
      </c>
      <c r="D93" s="4" t="s">
        <v>2744</v>
      </c>
      <c r="E93" s="4" t="s">
        <v>24</v>
      </c>
      <c r="F93" s="4">
        <v>120</v>
      </c>
    </row>
    <row r="94" spans="1:6" x14ac:dyDescent="0.25">
      <c r="A94" s="36">
        <v>45546</v>
      </c>
      <c r="B94" s="4" t="s">
        <v>2750</v>
      </c>
      <c r="C94" s="4" t="s">
        <v>20</v>
      </c>
      <c r="D94" s="4" t="s">
        <v>2552</v>
      </c>
      <c r="E94" s="4" t="s">
        <v>2227</v>
      </c>
      <c r="F94" s="4">
        <v>80</v>
      </c>
    </row>
    <row r="95" spans="1:6" x14ac:dyDescent="0.25">
      <c r="A95" s="36">
        <v>45547</v>
      </c>
      <c r="B95" s="4" t="s">
        <v>2751</v>
      </c>
      <c r="C95" s="4" t="s">
        <v>20</v>
      </c>
      <c r="D95" s="4" t="s">
        <v>2719</v>
      </c>
      <c r="E95" s="4" t="s">
        <v>2227</v>
      </c>
      <c r="F95" s="4">
        <v>80</v>
      </c>
    </row>
    <row r="96" spans="1:6" x14ac:dyDescent="0.25">
      <c r="A96" s="36">
        <v>45535</v>
      </c>
      <c r="B96" s="4" t="s">
        <v>2374</v>
      </c>
      <c r="C96" s="4" t="s">
        <v>311</v>
      </c>
      <c r="D96" s="4" t="s">
        <v>2654</v>
      </c>
      <c r="E96" s="4" t="s">
        <v>2227</v>
      </c>
      <c r="F96" s="4">
        <v>80</v>
      </c>
    </row>
    <row r="97" spans="1:6" x14ac:dyDescent="0.25">
      <c r="A97" s="36">
        <v>45548</v>
      </c>
      <c r="B97" s="4" t="s">
        <v>2717</v>
      </c>
      <c r="C97" s="4" t="s">
        <v>20</v>
      </c>
      <c r="D97" s="4" t="s">
        <v>2719</v>
      </c>
      <c r="E97" s="4" t="s">
        <v>24</v>
      </c>
      <c r="F97" s="4">
        <v>120</v>
      </c>
    </row>
    <row r="98" spans="1:6" x14ac:dyDescent="0.25">
      <c r="A98" s="36">
        <v>45536</v>
      </c>
      <c r="B98" s="4" t="s">
        <v>1895</v>
      </c>
      <c r="C98" s="4" t="s">
        <v>654</v>
      </c>
      <c r="D98" s="4" t="s">
        <v>2441</v>
      </c>
      <c r="E98" s="4" t="s">
        <v>24</v>
      </c>
      <c r="F98" s="4">
        <v>120</v>
      </c>
    </row>
    <row r="99" spans="1:6" x14ac:dyDescent="0.25">
      <c r="A99" s="36">
        <v>45525</v>
      </c>
      <c r="B99" s="4" t="s">
        <v>2536</v>
      </c>
      <c r="C99" s="4" t="s">
        <v>311</v>
      </c>
      <c r="D99" s="4" t="s">
        <v>2662</v>
      </c>
      <c r="E99" s="4" t="s">
        <v>2228</v>
      </c>
      <c r="F99" s="4">
        <v>80</v>
      </c>
    </row>
    <row r="100" spans="1:6" x14ac:dyDescent="0.25">
      <c r="A100" s="36">
        <v>45539</v>
      </c>
      <c r="B100" s="4" t="s">
        <v>2533</v>
      </c>
      <c r="C100" s="4" t="s">
        <v>311</v>
      </c>
      <c r="D100" s="4" t="s">
        <v>2662</v>
      </c>
      <c r="E100" s="4" t="s">
        <v>2227</v>
      </c>
      <c r="F100" s="4">
        <v>80</v>
      </c>
    </row>
    <row r="101" spans="1:6" x14ac:dyDescent="0.25">
      <c r="A101" s="36">
        <v>45539</v>
      </c>
      <c r="B101" s="4" t="s">
        <v>2535</v>
      </c>
      <c r="C101" s="4" t="s">
        <v>311</v>
      </c>
      <c r="D101" s="4" t="s">
        <v>2662</v>
      </c>
      <c r="E101" s="4" t="s">
        <v>2227</v>
      </c>
      <c r="F101" s="4">
        <v>80</v>
      </c>
    </row>
    <row r="102" spans="1:6" x14ac:dyDescent="0.25">
      <c r="A102" s="36">
        <v>45545</v>
      </c>
      <c r="B102" s="4" t="s">
        <v>2340</v>
      </c>
      <c r="C102" s="4" t="s">
        <v>1195</v>
      </c>
      <c r="D102" s="4" t="s">
        <v>2760</v>
      </c>
      <c r="E102" s="4" t="s">
        <v>24</v>
      </c>
      <c r="F102" s="4">
        <v>100</v>
      </c>
    </row>
    <row r="103" spans="1:6" x14ac:dyDescent="0.25">
      <c r="A103" s="36">
        <v>45550</v>
      </c>
      <c r="B103" s="4" t="s">
        <v>2769</v>
      </c>
      <c r="C103" s="4" t="s">
        <v>311</v>
      </c>
      <c r="D103" s="4" t="s">
        <v>2261</v>
      </c>
      <c r="E103" s="4" t="s">
        <v>2227</v>
      </c>
      <c r="F103" s="4">
        <v>80</v>
      </c>
    </row>
    <row r="104" spans="1:6" x14ac:dyDescent="0.25">
      <c r="A104" s="36">
        <v>45554</v>
      </c>
      <c r="B104" s="4" t="s">
        <v>2770</v>
      </c>
      <c r="C104" s="4" t="s">
        <v>16</v>
      </c>
      <c r="D104" s="4" t="s">
        <v>2261</v>
      </c>
      <c r="E104" s="4" t="s">
        <v>2228</v>
      </c>
      <c r="F104" s="4">
        <v>80</v>
      </c>
    </row>
  </sheetData>
  <sortState xmlns:xlrd2="http://schemas.microsoft.com/office/spreadsheetml/2017/richdata2" ref="A2:H36">
    <sortCondition ref="A2:A36"/>
  </sortState>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16EA22E-5A15-4AEE-930F-B0D167D00F21}">
          <x14:formula1>
            <xm:f>LIST!$B$3:$B$17</xm:f>
          </x14:formula1>
          <xm:sqref>C1:C1048576</xm:sqref>
        </x14:dataValidation>
        <x14:dataValidation type="list" allowBlank="1" showInputMessage="1" showErrorMessage="1" xr:uid="{065D7333-D02E-401B-AC28-EA55870E195B}">
          <x14:formula1>
            <xm:f>LIST!$C$3:$C$6</xm:f>
          </x14:formula1>
          <xm:sqref>E1:E1048576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E7FD-1EDA-4AD2-8CFA-2A7F54618046}">
  <dimension ref="A1:H171"/>
  <sheetViews>
    <sheetView zoomScale="95" zoomScaleNormal="95" workbookViewId="0">
      <pane ySplit="1" topLeftCell="A94" activePane="bottomLeft" state="frozen"/>
      <selection pane="bottomLeft" activeCell="A124" sqref="A124:XFD124"/>
    </sheetView>
  </sheetViews>
  <sheetFormatPr defaultRowHeight="15" x14ac:dyDescent="0.25"/>
  <cols>
    <col min="1" max="1" width="13.85546875" style="4" customWidth="1"/>
    <col min="2" max="2" width="68.28515625" style="4" customWidth="1"/>
    <col min="3" max="3" width="18.140625" style="4" customWidth="1"/>
    <col min="4" max="4" width="19.28515625" style="4" customWidth="1"/>
    <col min="5" max="5" width="19.140625" style="4" customWidth="1"/>
    <col min="6" max="6" width="17.28515625" style="4" customWidth="1"/>
    <col min="7" max="7" width="23" style="4" customWidth="1"/>
    <col min="8" max="8" width="15" customWidth="1"/>
  </cols>
  <sheetData>
    <row r="1" spans="1:8" x14ac:dyDescent="0.25">
      <c r="A1" s="1" t="s">
        <v>505</v>
      </c>
      <c r="B1" s="1" t="s">
        <v>506</v>
      </c>
      <c r="C1" s="1" t="s">
        <v>21</v>
      </c>
      <c r="D1" s="1" t="s">
        <v>3</v>
      </c>
      <c r="E1" s="1" t="s">
        <v>2</v>
      </c>
      <c r="F1" s="1" t="s">
        <v>507</v>
      </c>
      <c r="G1" s="1" t="s">
        <v>610</v>
      </c>
      <c r="H1">
        <f>SUM(F2:F233)</f>
        <v>15957.67</v>
      </c>
    </row>
    <row r="2" spans="1:8" x14ac:dyDescent="0.25">
      <c r="A2" s="11">
        <v>44933</v>
      </c>
      <c r="B2" s="4" t="s">
        <v>1136</v>
      </c>
      <c r="C2" s="4" t="s">
        <v>20</v>
      </c>
      <c r="D2" s="4" t="s">
        <v>1137</v>
      </c>
      <c r="E2" s="4" t="s">
        <v>25</v>
      </c>
      <c r="F2" s="4">
        <v>95</v>
      </c>
    </row>
    <row r="3" spans="1:8" x14ac:dyDescent="0.25">
      <c r="A3" s="11">
        <v>44933</v>
      </c>
      <c r="B3" s="4" t="s">
        <v>1138</v>
      </c>
      <c r="C3" s="4" t="s">
        <v>20</v>
      </c>
      <c r="D3" s="4" t="s">
        <v>534</v>
      </c>
      <c r="E3" s="4" t="s">
        <v>24</v>
      </c>
      <c r="F3" s="4">
        <v>95</v>
      </c>
    </row>
    <row r="4" spans="1:8" x14ac:dyDescent="0.25">
      <c r="A4" s="11">
        <v>44933</v>
      </c>
      <c r="B4" s="4" t="s">
        <v>1139</v>
      </c>
      <c r="C4" s="4" t="s">
        <v>20</v>
      </c>
      <c r="D4" s="4" t="s">
        <v>534</v>
      </c>
      <c r="E4" s="4" t="s">
        <v>24</v>
      </c>
      <c r="F4" s="4">
        <v>95</v>
      </c>
    </row>
    <row r="5" spans="1:8" x14ac:dyDescent="0.25">
      <c r="A5" s="11">
        <v>44933</v>
      </c>
      <c r="B5" s="4" t="s">
        <v>516</v>
      </c>
      <c r="C5" s="4" t="s">
        <v>18</v>
      </c>
      <c r="D5" s="4" t="s">
        <v>384</v>
      </c>
      <c r="E5" s="4" t="s">
        <v>25</v>
      </c>
      <c r="F5" s="4">
        <v>95</v>
      </c>
    </row>
    <row r="6" spans="1:8" x14ac:dyDescent="0.25">
      <c r="A6" s="11">
        <v>44933</v>
      </c>
      <c r="B6" s="4" t="s">
        <v>536</v>
      </c>
      <c r="C6" s="4" t="s">
        <v>16</v>
      </c>
      <c r="D6" s="4" t="s">
        <v>1140</v>
      </c>
      <c r="E6" s="4" t="s">
        <v>24</v>
      </c>
      <c r="F6" s="4">
        <v>95</v>
      </c>
    </row>
    <row r="7" spans="1:8" ht="14.25" customHeight="1" x14ac:dyDescent="0.25">
      <c r="A7" s="11">
        <v>44940</v>
      </c>
      <c r="B7" s="4" t="s">
        <v>923</v>
      </c>
      <c r="C7" s="4" t="s">
        <v>16</v>
      </c>
      <c r="D7" s="4" t="s">
        <v>462</v>
      </c>
      <c r="E7" s="4" t="s">
        <v>25</v>
      </c>
      <c r="F7" s="4">
        <v>100</v>
      </c>
    </row>
    <row r="8" spans="1:8" x14ac:dyDescent="0.25">
      <c r="A8" s="11">
        <v>44940</v>
      </c>
      <c r="B8" s="4" t="s">
        <v>1129</v>
      </c>
      <c r="C8" s="4" t="s">
        <v>16</v>
      </c>
      <c r="D8" s="4" t="s">
        <v>1130</v>
      </c>
      <c r="E8" s="4" t="s">
        <v>24</v>
      </c>
      <c r="F8" s="4">
        <v>100</v>
      </c>
    </row>
    <row r="9" spans="1:8" x14ac:dyDescent="0.25">
      <c r="A9" s="11">
        <v>44940</v>
      </c>
      <c r="B9" s="4" t="s">
        <v>1131</v>
      </c>
      <c r="C9" s="4" t="s">
        <v>20</v>
      </c>
      <c r="D9" s="4" t="s">
        <v>1130</v>
      </c>
      <c r="E9" s="4" t="s">
        <v>24</v>
      </c>
      <c r="F9" s="4">
        <v>100</v>
      </c>
    </row>
    <row r="10" spans="1:8" x14ac:dyDescent="0.25">
      <c r="A10" s="11">
        <v>44940</v>
      </c>
      <c r="B10" s="4" t="s">
        <v>1132</v>
      </c>
      <c r="C10" s="4" t="s">
        <v>18</v>
      </c>
      <c r="D10" s="4" t="s">
        <v>553</v>
      </c>
      <c r="E10" s="4" t="s">
        <v>22</v>
      </c>
      <c r="F10" s="4">
        <v>80</v>
      </c>
    </row>
    <row r="11" spans="1:8" x14ac:dyDescent="0.25">
      <c r="A11" s="11">
        <v>44940</v>
      </c>
      <c r="B11" s="4" t="s">
        <v>1133</v>
      </c>
      <c r="C11" s="4" t="s">
        <v>20</v>
      </c>
      <c r="D11" s="4" t="s">
        <v>553</v>
      </c>
      <c r="E11" s="4" t="s">
        <v>24</v>
      </c>
      <c r="F11" s="4">
        <v>100</v>
      </c>
    </row>
    <row r="12" spans="1:8" x14ac:dyDescent="0.25">
      <c r="A12" s="11">
        <v>44940</v>
      </c>
      <c r="B12" s="4" t="s">
        <v>1134</v>
      </c>
      <c r="C12" s="4" t="s">
        <v>16</v>
      </c>
      <c r="D12" s="4" t="s">
        <v>1135</v>
      </c>
      <c r="E12" s="4" t="s">
        <v>25</v>
      </c>
      <c r="F12" s="4">
        <v>100</v>
      </c>
    </row>
    <row r="13" spans="1:8" x14ac:dyDescent="0.25">
      <c r="A13" s="11">
        <v>44941</v>
      </c>
      <c r="B13" s="4" t="s">
        <v>1115</v>
      </c>
      <c r="C13" s="4" t="s">
        <v>20</v>
      </c>
      <c r="D13" s="4" t="s">
        <v>1116</v>
      </c>
      <c r="E13" s="4" t="s">
        <v>25</v>
      </c>
      <c r="F13" s="4">
        <v>95</v>
      </c>
    </row>
    <row r="14" spans="1:8" x14ac:dyDescent="0.25">
      <c r="A14" s="11">
        <v>44941</v>
      </c>
      <c r="B14" s="4" t="s">
        <v>1042</v>
      </c>
      <c r="C14" s="4" t="s">
        <v>15</v>
      </c>
      <c r="D14" s="4" t="s">
        <v>534</v>
      </c>
      <c r="E14" s="4" t="s">
        <v>25</v>
      </c>
      <c r="F14" s="4">
        <v>50</v>
      </c>
    </row>
    <row r="15" spans="1:8" x14ac:dyDescent="0.25">
      <c r="A15" s="11">
        <v>44947</v>
      </c>
      <c r="B15" s="4" t="s">
        <v>1124</v>
      </c>
      <c r="C15" s="4" t="s">
        <v>17</v>
      </c>
      <c r="D15" s="4" t="s">
        <v>384</v>
      </c>
      <c r="E15" s="4" t="s">
        <v>25</v>
      </c>
      <c r="F15" s="4">
        <v>75</v>
      </c>
    </row>
    <row r="16" spans="1:8" x14ac:dyDescent="0.25">
      <c r="A16" s="11">
        <v>44947</v>
      </c>
      <c r="B16" s="4" t="s">
        <v>1125</v>
      </c>
      <c r="C16" s="4" t="s">
        <v>17</v>
      </c>
      <c r="D16" s="4" t="s">
        <v>716</v>
      </c>
      <c r="E16" s="4" t="s">
        <v>24</v>
      </c>
      <c r="F16" s="4">
        <v>75</v>
      </c>
    </row>
    <row r="17" spans="1:6" x14ac:dyDescent="0.25">
      <c r="A17" s="11">
        <v>44947</v>
      </c>
      <c r="B17" s="4" t="s">
        <v>1119</v>
      </c>
      <c r="C17" s="4" t="s">
        <v>20</v>
      </c>
      <c r="D17" s="4" t="s">
        <v>600</v>
      </c>
      <c r="E17" s="4" t="s">
        <v>24</v>
      </c>
      <c r="F17" s="4">
        <v>100</v>
      </c>
    </row>
    <row r="18" spans="1:6" x14ac:dyDescent="0.25">
      <c r="A18" s="11">
        <v>44947</v>
      </c>
      <c r="B18" s="4" t="s">
        <v>1126</v>
      </c>
      <c r="C18" s="4" t="s">
        <v>174</v>
      </c>
      <c r="D18" s="4" t="s">
        <v>228</v>
      </c>
      <c r="E18" s="4" t="s">
        <v>24</v>
      </c>
      <c r="F18" s="4">
        <v>100</v>
      </c>
    </row>
    <row r="19" spans="1:6" x14ac:dyDescent="0.25">
      <c r="A19" s="11">
        <v>44947</v>
      </c>
      <c r="B19" s="4" t="s">
        <v>1127</v>
      </c>
      <c r="C19" s="4" t="s">
        <v>20</v>
      </c>
      <c r="D19" s="4" t="s">
        <v>494</v>
      </c>
      <c r="E19" s="4" t="s">
        <v>23</v>
      </c>
      <c r="F19" s="4">
        <v>95</v>
      </c>
    </row>
    <row r="20" spans="1:6" x14ac:dyDescent="0.25">
      <c r="A20" s="11">
        <v>44947</v>
      </c>
      <c r="B20" s="4" t="s">
        <v>1128</v>
      </c>
      <c r="C20" s="4" t="s">
        <v>20</v>
      </c>
      <c r="D20" s="4" t="s">
        <v>494</v>
      </c>
      <c r="E20" s="4" t="s">
        <v>22</v>
      </c>
      <c r="F20" s="4">
        <v>95</v>
      </c>
    </row>
    <row r="21" spans="1:6" x14ac:dyDescent="0.25">
      <c r="A21" s="11">
        <v>44949</v>
      </c>
      <c r="B21" s="4" t="s">
        <v>1560</v>
      </c>
      <c r="C21" s="4" t="s">
        <v>14</v>
      </c>
      <c r="D21" s="11">
        <v>45071</v>
      </c>
      <c r="E21" s="4" t="s">
        <v>24</v>
      </c>
      <c r="F21" s="4">
        <v>110</v>
      </c>
    </row>
    <row r="22" spans="1:6" x14ac:dyDescent="0.25">
      <c r="A22" s="11">
        <v>44953</v>
      </c>
      <c r="B22" s="4" t="s">
        <v>273</v>
      </c>
      <c r="C22" s="4" t="s">
        <v>18</v>
      </c>
      <c r="D22" s="4" t="s">
        <v>927</v>
      </c>
      <c r="E22" s="4" t="s">
        <v>24</v>
      </c>
      <c r="F22" s="4">
        <v>100</v>
      </c>
    </row>
    <row r="23" spans="1:6" x14ac:dyDescent="0.25">
      <c r="A23" s="11">
        <v>44954</v>
      </c>
      <c r="B23" s="4" t="s">
        <v>1119</v>
      </c>
      <c r="C23" s="4" t="s">
        <v>20</v>
      </c>
      <c r="D23" s="4" t="s">
        <v>534</v>
      </c>
      <c r="E23" s="4" t="s">
        <v>24</v>
      </c>
      <c r="F23" s="4">
        <v>95</v>
      </c>
    </row>
    <row r="24" spans="1:6" x14ac:dyDescent="0.25">
      <c r="A24" s="11">
        <v>44954</v>
      </c>
      <c r="B24" s="4" t="s">
        <v>1120</v>
      </c>
      <c r="C24" s="4" t="s">
        <v>14</v>
      </c>
      <c r="D24" s="4" t="s">
        <v>1054</v>
      </c>
      <c r="E24" s="4" t="s">
        <v>24</v>
      </c>
      <c r="F24" s="4">
        <v>105</v>
      </c>
    </row>
    <row r="25" spans="1:6" x14ac:dyDescent="0.25">
      <c r="A25" s="11">
        <v>44954</v>
      </c>
      <c r="B25" s="4" t="s">
        <v>1121</v>
      </c>
      <c r="C25" s="4" t="s">
        <v>19</v>
      </c>
      <c r="D25" s="4" t="s">
        <v>560</v>
      </c>
      <c r="E25" s="4" t="s">
        <v>24</v>
      </c>
      <c r="F25" s="4">
        <v>95</v>
      </c>
    </row>
    <row r="26" spans="1:6" x14ac:dyDescent="0.25">
      <c r="A26" s="11">
        <v>44954</v>
      </c>
      <c r="B26" s="4" t="s">
        <v>1122</v>
      </c>
      <c r="C26" s="4" t="s">
        <v>14</v>
      </c>
      <c r="D26" s="4" t="s">
        <v>1054</v>
      </c>
      <c r="E26" s="4" t="s">
        <v>24</v>
      </c>
      <c r="F26" s="4">
        <v>100</v>
      </c>
    </row>
    <row r="27" spans="1:6" x14ac:dyDescent="0.25">
      <c r="A27" s="11">
        <v>44954</v>
      </c>
      <c r="B27" s="4" t="s">
        <v>1123</v>
      </c>
      <c r="C27" s="4" t="s">
        <v>16</v>
      </c>
      <c r="D27" s="4" t="s">
        <v>575</v>
      </c>
      <c r="E27" s="4" t="s">
        <v>24</v>
      </c>
      <c r="F27" s="4">
        <v>100</v>
      </c>
    </row>
    <row r="28" spans="1:6" x14ac:dyDescent="0.25">
      <c r="A28" s="11">
        <v>44955</v>
      </c>
      <c r="B28" s="4" t="s">
        <v>921</v>
      </c>
      <c r="C28" s="4" t="s">
        <v>311</v>
      </c>
      <c r="D28" s="4" t="s">
        <v>922</v>
      </c>
      <c r="E28" s="4" t="s">
        <v>23</v>
      </c>
      <c r="F28" s="4">
        <v>80</v>
      </c>
    </row>
    <row r="29" spans="1:6" x14ac:dyDescent="0.25">
      <c r="A29" s="11">
        <v>44961</v>
      </c>
      <c r="B29" s="4" t="s">
        <v>1117</v>
      </c>
      <c r="C29" s="4" t="s">
        <v>17</v>
      </c>
      <c r="D29" s="4" t="s">
        <v>1118</v>
      </c>
      <c r="E29" s="4" t="s">
        <v>24</v>
      </c>
      <c r="F29" s="4">
        <v>100</v>
      </c>
    </row>
    <row r="30" spans="1:6" x14ac:dyDescent="0.25">
      <c r="A30" s="11">
        <v>44962</v>
      </c>
      <c r="B30" s="4" t="s">
        <v>1113</v>
      </c>
      <c r="C30" s="4" t="s">
        <v>18</v>
      </c>
      <c r="D30" s="4" t="s">
        <v>1114</v>
      </c>
      <c r="E30" s="4" t="s">
        <v>25</v>
      </c>
      <c r="F30" s="4">
        <v>100</v>
      </c>
    </row>
    <row r="31" spans="1:6" x14ac:dyDescent="0.25">
      <c r="A31" s="11">
        <v>44968</v>
      </c>
      <c r="B31" s="4" t="s">
        <v>1106</v>
      </c>
      <c r="C31" s="4" t="s">
        <v>16</v>
      </c>
      <c r="D31" s="4" t="s">
        <v>384</v>
      </c>
      <c r="E31" s="4" t="s">
        <v>25</v>
      </c>
      <c r="F31" s="4">
        <v>100</v>
      </c>
    </row>
    <row r="32" spans="1:6" x14ac:dyDescent="0.25">
      <c r="A32" s="11">
        <v>44968</v>
      </c>
      <c r="B32" s="4" t="s">
        <v>1107</v>
      </c>
      <c r="C32" s="4" t="s">
        <v>20</v>
      </c>
      <c r="D32" s="4" t="s">
        <v>553</v>
      </c>
      <c r="E32" s="4" t="s">
        <v>25</v>
      </c>
      <c r="F32" s="4">
        <v>95</v>
      </c>
    </row>
    <row r="33" spans="1:6" x14ac:dyDescent="0.25">
      <c r="A33" s="11">
        <v>44968</v>
      </c>
      <c r="B33" s="4" t="s">
        <v>1108</v>
      </c>
      <c r="C33" s="4" t="s">
        <v>17</v>
      </c>
      <c r="D33" s="4" t="s">
        <v>557</v>
      </c>
      <c r="E33" s="4" t="s">
        <v>24</v>
      </c>
      <c r="F33" s="4">
        <v>100</v>
      </c>
    </row>
    <row r="34" spans="1:6" x14ac:dyDescent="0.25">
      <c r="A34" s="11">
        <v>44968</v>
      </c>
      <c r="B34" s="4" t="s">
        <v>1106</v>
      </c>
      <c r="C34" s="4" t="s">
        <v>16</v>
      </c>
      <c r="D34" s="4" t="s">
        <v>1109</v>
      </c>
      <c r="E34" s="4" t="s">
        <v>25</v>
      </c>
      <c r="F34" s="4">
        <v>100</v>
      </c>
    </row>
    <row r="35" spans="1:6" x14ac:dyDescent="0.25">
      <c r="A35" s="11">
        <v>44968</v>
      </c>
      <c r="B35" s="4" t="s">
        <v>1110</v>
      </c>
      <c r="C35" s="4" t="s">
        <v>20</v>
      </c>
      <c r="D35" s="4" t="s">
        <v>588</v>
      </c>
      <c r="E35" s="4" t="s">
        <v>25</v>
      </c>
      <c r="F35" s="4">
        <v>100</v>
      </c>
    </row>
    <row r="36" spans="1:6" x14ac:dyDescent="0.25">
      <c r="A36" s="11">
        <v>44968</v>
      </c>
      <c r="B36" s="4" t="s">
        <v>1111</v>
      </c>
      <c r="C36" s="4" t="s">
        <v>20</v>
      </c>
      <c r="D36" s="4" t="s">
        <v>574</v>
      </c>
      <c r="E36" s="4" t="s">
        <v>22</v>
      </c>
      <c r="F36" s="4">
        <v>65</v>
      </c>
    </row>
    <row r="37" spans="1:6" x14ac:dyDescent="0.25">
      <c r="A37" s="11">
        <v>44968</v>
      </c>
      <c r="B37" s="4" t="s">
        <v>1112</v>
      </c>
      <c r="C37" s="4" t="s">
        <v>20</v>
      </c>
      <c r="D37" s="4" t="s">
        <v>574</v>
      </c>
      <c r="E37" s="4" t="s">
        <v>22</v>
      </c>
      <c r="F37" s="4">
        <v>65</v>
      </c>
    </row>
    <row r="38" spans="1:6" x14ac:dyDescent="0.25">
      <c r="A38" s="11">
        <v>44970</v>
      </c>
      <c r="B38" s="4" t="s">
        <v>1098</v>
      </c>
      <c r="C38" s="4" t="s">
        <v>311</v>
      </c>
      <c r="D38" s="4" t="s">
        <v>1099</v>
      </c>
      <c r="E38" s="4" t="s">
        <v>25</v>
      </c>
      <c r="F38" s="4">
        <v>100</v>
      </c>
    </row>
    <row r="39" spans="1:6" x14ac:dyDescent="0.25">
      <c r="A39" s="11">
        <v>44972</v>
      </c>
      <c r="B39" s="4" t="s">
        <v>1102</v>
      </c>
      <c r="C39" s="4" t="s">
        <v>311</v>
      </c>
      <c r="D39" s="4" t="s">
        <v>922</v>
      </c>
      <c r="E39" s="4" t="s">
        <v>25</v>
      </c>
      <c r="F39" s="4">
        <v>75</v>
      </c>
    </row>
    <row r="40" spans="1:6" x14ac:dyDescent="0.25">
      <c r="A40" s="11">
        <v>44972</v>
      </c>
      <c r="B40" s="4" t="s">
        <v>1103</v>
      </c>
      <c r="C40" s="4" t="s">
        <v>311</v>
      </c>
      <c r="D40" s="4" t="s">
        <v>1104</v>
      </c>
      <c r="E40" s="4" t="s">
        <v>25</v>
      </c>
      <c r="F40" s="4">
        <v>75</v>
      </c>
    </row>
    <row r="41" spans="1:6" x14ac:dyDescent="0.25">
      <c r="A41" s="11">
        <v>44975</v>
      </c>
      <c r="B41" s="4" t="s">
        <v>1261</v>
      </c>
      <c r="C41" s="4" t="s">
        <v>311</v>
      </c>
      <c r="D41" s="4" t="s">
        <v>1100</v>
      </c>
      <c r="E41" s="4" t="s">
        <v>25</v>
      </c>
      <c r="F41" s="4">
        <v>95</v>
      </c>
    </row>
    <row r="42" spans="1:6" x14ac:dyDescent="0.25">
      <c r="A42" s="11">
        <v>44975</v>
      </c>
      <c r="B42" s="4" t="s">
        <v>1101</v>
      </c>
      <c r="C42" s="4" t="s">
        <v>311</v>
      </c>
      <c r="D42" s="4" t="s">
        <v>560</v>
      </c>
      <c r="E42" s="4" t="s">
        <v>24</v>
      </c>
      <c r="F42" s="4">
        <v>95</v>
      </c>
    </row>
    <row r="43" spans="1:6" x14ac:dyDescent="0.25">
      <c r="A43" s="11">
        <v>44975</v>
      </c>
      <c r="B43" s="4" t="s">
        <v>1105</v>
      </c>
      <c r="C43" s="4" t="s">
        <v>20</v>
      </c>
      <c r="D43" s="4" t="s">
        <v>557</v>
      </c>
      <c r="E43" s="4" t="s">
        <v>24</v>
      </c>
      <c r="F43" s="4">
        <v>95</v>
      </c>
    </row>
    <row r="44" spans="1:6" x14ac:dyDescent="0.25">
      <c r="A44" s="11">
        <v>44975</v>
      </c>
      <c r="B44" s="4" t="s">
        <v>814</v>
      </c>
      <c r="C44" s="4" t="s">
        <v>20</v>
      </c>
      <c r="D44" s="4" t="s">
        <v>228</v>
      </c>
      <c r="E44" s="4" t="s">
        <v>23</v>
      </c>
      <c r="F44" s="4">
        <v>65</v>
      </c>
    </row>
    <row r="45" spans="1:6" x14ac:dyDescent="0.25">
      <c r="A45" s="11">
        <v>44979</v>
      </c>
      <c r="C45" s="4" t="s">
        <v>311</v>
      </c>
      <c r="D45" s="4" t="s">
        <v>870</v>
      </c>
      <c r="E45" s="4" t="s">
        <v>24</v>
      </c>
      <c r="F45" s="4">
        <v>50</v>
      </c>
    </row>
    <row r="46" spans="1:6" x14ac:dyDescent="0.25">
      <c r="A46" s="11">
        <v>44979</v>
      </c>
      <c r="C46" s="4" t="s">
        <v>311</v>
      </c>
      <c r="D46" s="4" t="s">
        <v>870</v>
      </c>
      <c r="E46" s="4" t="s">
        <v>25</v>
      </c>
      <c r="F46" s="4">
        <v>50</v>
      </c>
    </row>
    <row r="47" spans="1:6" x14ac:dyDescent="0.25">
      <c r="A47" s="11">
        <v>44982</v>
      </c>
      <c r="B47" s="4" t="s">
        <v>1096</v>
      </c>
      <c r="C47" s="4" t="s">
        <v>20</v>
      </c>
      <c r="D47" s="4" t="s">
        <v>462</v>
      </c>
      <c r="E47" s="4" t="s">
        <v>25</v>
      </c>
      <c r="F47" s="4">
        <v>100</v>
      </c>
    </row>
    <row r="48" spans="1:6" x14ac:dyDescent="0.25">
      <c r="A48" s="11">
        <v>44982</v>
      </c>
      <c r="B48" s="4" t="s">
        <v>1097</v>
      </c>
      <c r="C48" s="4" t="s">
        <v>16</v>
      </c>
      <c r="D48" s="4" t="s">
        <v>1057</v>
      </c>
      <c r="E48" s="4" t="s">
        <v>25</v>
      </c>
      <c r="F48" s="4">
        <v>100</v>
      </c>
    </row>
    <row r="49" spans="1:6" x14ac:dyDescent="0.25">
      <c r="A49" s="11">
        <v>44989</v>
      </c>
      <c r="B49" s="4" t="s">
        <v>1092</v>
      </c>
      <c r="C49" s="4" t="s">
        <v>14</v>
      </c>
      <c r="D49" s="4" t="s">
        <v>560</v>
      </c>
      <c r="E49" s="4" t="s">
        <v>25</v>
      </c>
      <c r="F49" s="4">
        <v>75</v>
      </c>
    </row>
    <row r="50" spans="1:6" x14ac:dyDescent="0.25">
      <c r="A50" s="11">
        <v>44989</v>
      </c>
      <c r="B50" s="4" t="s">
        <v>1093</v>
      </c>
      <c r="C50" s="4" t="s">
        <v>15</v>
      </c>
      <c r="D50" s="4" t="s">
        <v>607</v>
      </c>
      <c r="E50" s="4" t="s">
        <v>25</v>
      </c>
      <c r="F50" s="4">
        <v>75</v>
      </c>
    </row>
    <row r="51" spans="1:6" x14ac:dyDescent="0.25">
      <c r="A51" s="11">
        <v>44989</v>
      </c>
      <c r="B51" s="4" t="s">
        <v>1094</v>
      </c>
      <c r="C51" s="4" t="s">
        <v>16</v>
      </c>
      <c r="D51" s="4" t="s">
        <v>553</v>
      </c>
      <c r="E51" s="4" t="s">
        <v>23</v>
      </c>
      <c r="F51" s="4">
        <v>100</v>
      </c>
    </row>
    <row r="52" spans="1:6" x14ac:dyDescent="0.25">
      <c r="A52" s="11">
        <v>44989</v>
      </c>
      <c r="B52" s="4" t="s">
        <v>1095</v>
      </c>
      <c r="C52" s="4" t="s">
        <v>20</v>
      </c>
      <c r="D52" s="4" t="s">
        <v>1054</v>
      </c>
      <c r="E52" s="4" t="s">
        <v>24</v>
      </c>
      <c r="F52" s="4">
        <v>100</v>
      </c>
    </row>
    <row r="53" spans="1:6" x14ac:dyDescent="0.25">
      <c r="A53" s="11">
        <v>44992</v>
      </c>
      <c r="B53" s="4" t="s">
        <v>864</v>
      </c>
      <c r="C53" s="4" t="s">
        <v>16</v>
      </c>
      <c r="D53" s="4" t="s">
        <v>644</v>
      </c>
      <c r="E53" s="4" t="s">
        <v>25</v>
      </c>
      <c r="F53" s="4">
        <v>95</v>
      </c>
    </row>
    <row r="54" spans="1:6" x14ac:dyDescent="0.25">
      <c r="A54" s="11">
        <v>45007</v>
      </c>
      <c r="B54" s="4" t="s">
        <v>920</v>
      </c>
      <c r="C54" s="4" t="s">
        <v>17</v>
      </c>
      <c r="D54" s="4" t="s">
        <v>667</v>
      </c>
      <c r="E54" s="4" t="s">
        <v>22</v>
      </c>
      <c r="F54" s="4">
        <v>65</v>
      </c>
    </row>
    <row r="55" spans="1:6" x14ac:dyDescent="0.25">
      <c r="A55" s="11">
        <v>45010</v>
      </c>
      <c r="B55" s="4" t="s">
        <v>925</v>
      </c>
      <c r="C55" s="4" t="s">
        <v>14</v>
      </c>
      <c r="D55" s="4" t="s">
        <v>926</v>
      </c>
      <c r="E55" s="4" t="s">
        <v>24</v>
      </c>
      <c r="F55" s="4">
        <v>358.67</v>
      </c>
    </row>
    <row r="56" spans="1:6" x14ac:dyDescent="0.25">
      <c r="A56" s="11">
        <v>45018</v>
      </c>
      <c r="B56" s="4" t="s">
        <v>865</v>
      </c>
      <c r="C56" s="4" t="s">
        <v>15</v>
      </c>
      <c r="D56" s="4" t="s">
        <v>867</v>
      </c>
      <c r="E56" s="4" t="s">
        <v>25</v>
      </c>
      <c r="F56" s="4">
        <v>60</v>
      </c>
    </row>
    <row r="57" spans="1:6" x14ac:dyDescent="0.25">
      <c r="A57" s="11">
        <v>45018</v>
      </c>
      <c r="B57" s="4" t="s">
        <v>866</v>
      </c>
      <c r="C57" s="4" t="s">
        <v>15</v>
      </c>
      <c r="D57" s="4" t="s">
        <v>867</v>
      </c>
      <c r="E57" s="4" t="s">
        <v>25</v>
      </c>
      <c r="F57" s="4">
        <v>60</v>
      </c>
    </row>
    <row r="58" spans="1:6" x14ac:dyDescent="0.25">
      <c r="A58" s="11">
        <v>45031</v>
      </c>
      <c r="B58" s="4" t="s">
        <v>924</v>
      </c>
      <c r="C58" s="4" t="s">
        <v>20</v>
      </c>
      <c r="D58" s="4" t="s">
        <v>667</v>
      </c>
      <c r="E58" s="4" t="s">
        <v>22</v>
      </c>
      <c r="F58" s="4">
        <v>100</v>
      </c>
    </row>
    <row r="59" spans="1:6" x14ac:dyDescent="0.25">
      <c r="A59" s="11">
        <v>45031</v>
      </c>
      <c r="B59" s="4" t="s">
        <v>1351</v>
      </c>
      <c r="D59" s="4" t="s">
        <v>1338</v>
      </c>
      <c r="E59" s="4" t="s">
        <v>25</v>
      </c>
      <c r="F59" s="4">
        <v>95</v>
      </c>
    </row>
    <row r="60" spans="1:6" x14ac:dyDescent="0.25">
      <c r="A60" s="11">
        <v>45031</v>
      </c>
      <c r="B60" s="4" t="s">
        <v>1350</v>
      </c>
      <c r="C60" s="4" t="s">
        <v>16</v>
      </c>
      <c r="D60" s="4" t="s">
        <v>1338</v>
      </c>
      <c r="E60" s="4" t="s">
        <v>24</v>
      </c>
      <c r="F60" s="4">
        <v>95</v>
      </c>
    </row>
    <row r="61" spans="1:6" x14ac:dyDescent="0.25">
      <c r="A61" s="11">
        <v>45037</v>
      </c>
      <c r="B61" s="4" t="s">
        <v>1066</v>
      </c>
      <c r="C61" s="4" t="s">
        <v>16</v>
      </c>
      <c r="D61" s="4" t="s">
        <v>384</v>
      </c>
      <c r="E61" s="4" t="s">
        <v>24</v>
      </c>
      <c r="F61" s="4">
        <v>100</v>
      </c>
    </row>
    <row r="62" spans="1:6" x14ac:dyDescent="0.25">
      <c r="A62" s="11">
        <v>45038</v>
      </c>
      <c r="B62" s="4" t="s">
        <v>1045</v>
      </c>
      <c r="C62" s="4" t="s">
        <v>20</v>
      </c>
      <c r="D62" s="4" t="s">
        <v>542</v>
      </c>
      <c r="E62" s="4" t="s">
        <v>23</v>
      </c>
      <c r="F62" s="4">
        <v>30</v>
      </c>
    </row>
    <row r="63" spans="1:6" x14ac:dyDescent="0.25">
      <c r="A63" s="11">
        <v>45038</v>
      </c>
      <c r="B63" s="4" t="s">
        <v>701</v>
      </c>
      <c r="C63" s="4" t="s">
        <v>311</v>
      </c>
      <c r="D63" s="4" t="s">
        <v>384</v>
      </c>
      <c r="E63" s="4" t="s">
        <v>25</v>
      </c>
      <c r="F63" s="4">
        <v>120</v>
      </c>
    </row>
    <row r="64" spans="1:6" x14ac:dyDescent="0.25">
      <c r="A64" s="11">
        <v>45038</v>
      </c>
      <c r="B64" s="4" t="s">
        <v>1067</v>
      </c>
      <c r="C64" s="4" t="s">
        <v>127</v>
      </c>
      <c r="D64" s="4" t="s">
        <v>591</v>
      </c>
      <c r="E64" s="4" t="s">
        <v>25</v>
      </c>
      <c r="F64" s="4">
        <v>95</v>
      </c>
    </row>
    <row r="65" spans="1:6" x14ac:dyDescent="0.25">
      <c r="A65" s="11">
        <v>45045</v>
      </c>
      <c r="B65" s="4" t="s">
        <v>1259</v>
      </c>
      <c r="C65" s="4" t="s">
        <v>17</v>
      </c>
      <c r="D65" s="4" t="s">
        <v>591</v>
      </c>
      <c r="E65" s="4" t="s">
        <v>25</v>
      </c>
      <c r="F65" s="4">
        <v>200</v>
      </c>
    </row>
    <row r="66" spans="1:6" x14ac:dyDescent="0.25">
      <c r="A66" s="11">
        <v>45059</v>
      </c>
      <c r="B66" s="4" t="s">
        <v>272</v>
      </c>
      <c r="C66" s="4" t="s">
        <v>18</v>
      </c>
      <c r="D66" s="4" t="s">
        <v>870</v>
      </c>
      <c r="E66" s="4" t="s">
        <v>25</v>
      </c>
      <c r="F66" s="4">
        <v>135</v>
      </c>
    </row>
    <row r="67" spans="1:6" x14ac:dyDescent="0.25">
      <c r="A67" s="11">
        <v>45059</v>
      </c>
      <c r="B67" s="4" t="s">
        <v>273</v>
      </c>
      <c r="C67" s="4" t="s">
        <v>18</v>
      </c>
      <c r="D67" s="4" t="s">
        <v>870</v>
      </c>
      <c r="E67" s="4" t="s">
        <v>24</v>
      </c>
      <c r="F67" s="4">
        <v>135</v>
      </c>
    </row>
    <row r="68" spans="1:6" x14ac:dyDescent="0.25">
      <c r="A68" s="11">
        <v>45059</v>
      </c>
      <c r="B68" s="4" t="s">
        <v>756</v>
      </c>
      <c r="C68" s="4" t="s">
        <v>15</v>
      </c>
      <c r="D68" s="4" t="s">
        <v>883</v>
      </c>
      <c r="E68" s="4" t="s">
        <v>24</v>
      </c>
      <c r="F68" s="4">
        <v>95</v>
      </c>
    </row>
    <row r="69" spans="1:6" x14ac:dyDescent="0.25">
      <c r="A69" s="11">
        <v>45059</v>
      </c>
      <c r="B69" s="4" t="s">
        <v>757</v>
      </c>
      <c r="C69" s="4" t="s">
        <v>15</v>
      </c>
      <c r="D69" s="4" t="s">
        <v>883</v>
      </c>
      <c r="E69" s="4" t="s">
        <v>24</v>
      </c>
      <c r="F69" s="4">
        <v>95</v>
      </c>
    </row>
    <row r="70" spans="1:6" x14ac:dyDescent="0.25">
      <c r="A70" s="11">
        <v>45065</v>
      </c>
      <c r="B70" s="4" t="s">
        <v>1044</v>
      </c>
      <c r="C70" s="4" t="s">
        <v>17</v>
      </c>
      <c r="D70" s="4" t="s">
        <v>1043</v>
      </c>
      <c r="E70" s="4" t="s">
        <v>23</v>
      </c>
      <c r="F70" s="4">
        <v>70</v>
      </c>
    </row>
    <row r="71" spans="1:6" x14ac:dyDescent="0.25">
      <c r="A71" s="11">
        <v>45066</v>
      </c>
      <c r="B71" s="4" t="s">
        <v>879</v>
      </c>
      <c r="C71" s="4" t="s">
        <v>654</v>
      </c>
      <c r="D71" s="4" t="s">
        <v>384</v>
      </c>
      <c r="E71" s="4" t="s">
        <v>24</v>
      </c>
      <c r="F71" s="4">
        <v>95</v>
      </c>
    </row>
    <row r="72" spans="1:6" x14ac:dyDescent="0.25">
      <c r="A72" s="11">
        <v>45067</v>
      </c>
      <c r="B72" s="4" t="s">
        <v>886</v>
      </c>
      <c r="C72" s="4" t="s">
        <v>311</v>
      </c>
      <c r="D72" s="4" t="s">
        <v>887</v>
      </c>
      <c r="E72" s="4" t="s">
        <v>25</v>
      </c>
      <c r="F72" s="4">
        <v>95</v>
      </c>
    </row>
    <row r="73" spans="1:6" x14ac:dyDescent="0.25">
      <c r="A73" s="11">
        <v>45067</v>
      </c>
      <c r="B73" s="4" t="s">
        <v>888</v>
      </c>
      <c r="C73" s="4" t="s">
        <v>16</v>
      </c>
      <c r="D73" s="4" t="s">
        <v>889</v>
      </c>
      <c r="E73" s="4" t="s">
        <v>24</v>
      </c>
      <c r="F73" s="4">
        <v>90</v>
      </c>
    </row>
    <row r="74" spans="1:6" x14ac:dyDescent="0.25">
      <c r="A74" s="11">
        <v>45067</v>
      </c>
      <c r="B74" s="4" t="s">
        <v>890</v>
      </c>
      <c r="C74" s="4" t="s">
        <v>16</v>
      </c>
      <c r="D74" s="4" t="s">
        <v>588</v>
      </c>
      <c r="E74" s="4" t="s">
        <v>24</v>
      </c>
      <c r="F74" s="4">
        <v>95</v>
      </c>
    </row>
    <row r="75" spans="1:6" x14ac:dyDescent="0.25">
      <c r="A75" s="11">
        <v>45082</v>
      </c>
      <c r="B75" s="4" t="s">
        <v>758</v>
      </c>
      <c r="C75" s="4" t="s">
        <v>654</v>
      </c>
      <c r="D75" s="4" t="s">
        <v>883</v>
      </c>
      <c r="E75" s="4" t="s">
        <v>24</v>
      </c>
      <c r="F75" s="4">
        <v>95</v>
      </c>
    </row>
    <row r="76" spans="1:6" x14ac:dyDescent="0.25">
      <c r="A76" s="11">
        <v>45082</v>
      </c>
      <c r="B76" s="4" t="s">
        <v>759</v>
      </c>
      <c r="C76" s="4" t="s">
        <v>654</v>
      </c>
      <c r="D76" s="4" t="s">
        <v>883</v>
      </c>
      <c r="E76" s="4" t="s">
        <v>24</v>
      </c>
      <c r="F76" s="4">
        <v>95</v>
      </c>
    </row>
    <row r="77" spans="1:6" x14ac:dyDescent="0.25">
      <c r="A77" s="11">
        <v>45091</v>
      </c>
      <c r="B77" s="4" t="s">
        <v>992</v>
      </c>
      <c r="C77" s="4" t="s">
        <v>14</v>
      </c>
      <c r="D77" s="4" t="s">
        <v>384</v>
      </c>
      <c r="E77" s="4" t="s">
        <v>25</v>
      </c>
      <c r="F77" s="4">
        <v>100</v>
      </c>
    </row>
    <row r="78" spans="1:6" x14ac:dyDescent="0.25">
      <c r="A78" s="11">
        <v>45092</v>
      </c>
      <c r="B78" s="4" t="s">
        <v>1008</v>
      </c>
      <c r="C78" s="4" t="s">
        <v>311</v>
      </c>
      <c r="D78" s="4" t="s">
        <v>1009</v>
      </c>
      <c r="E78" s="4" t="s">
        <v>25</v>
      </c>
      <c r="F78" s="4">
        <v>110</v>
      </c>
    </row>
    <row r="79" spans="1:6" x14ac:dyDescent="0.25">
      <c r="A79" s="11">
        <v>45092</v>
      </c>
      <c r="B79" s="4" t="s">
        <v>1010</v>
      </c>
      <c r="C79" s="4" t="s">
        <v>311</v>
      </c>
      <c r="D79" s="4" t="s">
        <v>1011</v>
      </c>
      <c r="E79" s="4" t="s">
        <v>24</v>
      </c>
      <c r="F79" s="4">
        <v>150</v>
      </c>
    </row>
    <row r="80" spans="1:6" x14ac:dyDescent="0.25">
      <c r="A80" s="11">
        <v>45092</v>
      </c>
      <c r="B80" s="4" t="s">
        <v>546</v>
      </c>
      <c r="C80" s="4" t="s">
        <v>311</v>
      </c>
      <c r="D80" s="4" t="s">
        <v>1012</v>
      </c>
      <c r="E80" s="4" t="s">
        <v>25</v>
      </c>
      <c r="F80" s="4">
        <v>100</v>
      </c>
    </row>
    <row r="81" spans="1:6" x14ac:dyDescent="0.25">
      <c r="A81" s="11">
        <v>45094</v>
      </c>
      <c r="B81" s="4" t="s">
        <v>1038</v>
      </c>
      <c r="C81" s="4" t="s">
        <v>14</v>
      </c>
      <c r="D81" s="4" t="s">
        <v>612</v>
      </c>
      <c r="E81" s="4" t="s">
        <v>24</v>
      </c>
      <c r="F81" s="4">
        <v>70</v>
      </c>
    </row>
    <row r="82" spans="1:6" x14ac:dyDescent="0.25">
      <c r="A82" s="11">
        <v>45101</v>
      </c>
      <c r="B82" s="4" t="s">
        <v>1339</v>
      </c>
      <c r="C82" s="4" t="s">
        <v>311</v>
      </c>
      <c r="D82" s="4" t="s">
        <v>591</v>
      </c>
      <c r="E82" s="4" t="s">
        <v>25</v>
      </c>
      <c r="F82" s="4">
        <v>95</v>
      </c>
    </row>
    <row r="83" spans="1:6" x14ac:dyDescent="0.25">
      <c r="A83" s="11">
        <v>45109</v>
      </c>
      <c r="B83" s="4" t="s">
        <v>1199</v>
      </c>
      <c r="C83" s="4" t="s">
        <v>16</v>
      </c>
      <c r="D83" s="4" t="s">
        <v>1576</v>
      </c>
      <c r="E83" s="4" t="s">
        <v>24</v>
      </c>
      <c r="F83" s="4">
        <v>110</v>
      </c>
    </row>
    <row r="84" spans="1:6" x14ac:dyDescent="0.25">
      <c r="A84" s="11">
        <v>45115</v>
      </c>
      <c r="B84" s="4" t="s">
        <v>1024</v>
      </c>
      <c r="C84" s="4" t="s">
        <v>311</v>
      </c>
      <c r="D84" s="4" t="s">
        <v>716</v>
      </c>
      <c r="E84" s="4" t="s">
        <v>25</v>
      </c>
      <c r="F84" s="4">
        <v>120</v>
      </c>
    </row>
    <row r="85" spans="1:6" x14ac:dyDescent="0.25">
      <c r="A85" s="11">
        <v>45115</v>
      </c>
      <c r="B85" s="4" t="s">
        <v>1274</v>
      </c>
      <c r="C85" s="4" t="s">
        <v>311</v>
      </c>
      <c r="D85" s="4" t="s">
        <v>802</v>
      </c>
      <c r="E85" s="4" t="s">
        <v>23</v>
      </c>
      <c r="F85" s="4">
        <v>120</v>
      </c>
    </row>
    <row r="86" spans="1:6" x14ac:dyDescent="0.25">
      <c r="A86" s="11">
        <v>45115</v>
      </c>
      <c r="B86" s="4" t="s">
        <v>1272</v>
      </c>
      <c r="C86" s="4" t="s">
        <v>17</v>
      </c>
      <c r="D86" s="4" t="s">
        <v>802</v>
      </c>
      <c r="E86" s="4" t="s">
        <v>22</v>
      </c>
      <c r="F86" s="4">
        <v>80</v>
      </c>
    </row>
    <row r="87" spans="1:6" x14ac:dyDescent="0.25">
      <c r="A87" s="11">
        <v>45115</v>
      </c>
      <c r="B87" s="4" t="s">
        <v>1273</v>
      </c>
      <c r="C87" s="4" t="s">
        <v>174</v>
      </c>
      <c r="D87" s="4" t="s">
        <v>802</v>
      </c>
      <c r="E87" s="4" t="s">
        <v>22</v>
      </c>
      <c r="F87" s="4">
        <v>90</v>
      </c>
    </row>
    <row r="88" spans="1:6" x14ac:dyDescent="0.25">
      <c r="A88" s="11">
        <v>45116</v>
      </c>
      <c r="B88" s="4" t="s">
        <v>1567</v>
      </c>
      <c r="C88" s="4" t="s">
        <v>174</v>
      </c>
      <c r="D88" s="4" t="s">
        <v>801</v>
      </c>
      <c r="E88" s="4" t="s">
        <v>22</v>
      </c>
      <c r="F88" s="4">
        <v>80</v>
      </c>
    </row>
    <row r="89" spans="1:6" x14ac:dyDescent="0.25">
      <c r="A89" s="11">
        <v>45116</v>
      </c>
      <c r="B89" s="4" t="s">
        <v>818</v>
      </c>
      <c r="C89" s="4" t="s">
        <v>18</v>
      </c>
      <c r="D89" s="4" t="s">
        <v>1626</v>
      </c>
      <c r="E89" s="4" t="s">
        <v>24</v>
      </c>
      <c r="F89" s="4">
        <v>150</v>
      </c>
    </row>
    <row r="90" spans="1:6" x14ac:dyDescent="0.25">
      <c r="A90" s="11">
        <v>45121</v>
      </c>
      <c r="B90" s="4" t="s">
        <v>1262</v>
      </c>
      <c r="C90" s="4" t="s">
        <v>17</v>
      </c>
      <c r="D90" s="4" t="s">
        <v>1566</v>
      </c>
      <c r="E90" s="4" t="s">
        <v>23</v>
      </c>
      <c r="F90" s="4">
        <v>80</v>
      </c>
    </row>
    <row r="91" spans="1:6" x14ac:dyDescent="0.25">
      <c r="A91" s="11">
        <v>45121</v>
      </c>
      <c r="B91" s="4" t="s">
        <v>1263</v>
      </c>
      <c r="C91" s="4" t="s">
        <v>17</v>
      </c>
      <c r="D91" s="4" t="s">
        <v>1566</v>
      </c>
      <c r="E91" s="4" t="s">
        <v>23</v>
      </c>
      <c r="F91" s="4">
        <v>80</v>
      </c>
    </row>
    <row r="92" spans="1:6" x14ac:dyDescent="0.25">
      <c r="A92" s="11">
        <v>45129</v>
      </c>
      <c r="B92" s="4" t="s">
        <v>1180</v>
      </c>
      <c r="C92" s="4" t="s">
        <v>19</v>
      </c>
      <c r="D92" s="4" t="s">
        <v>806</v>
      </c>
      <c r="E92" s="4" t="s">
        <v>23</v>
      </c>
      <c r="F92" s="4">
        <v>100</v>
      </c>
    </row>
    <row r="93" spans="1:6" x14ac:dyDescent="0.25">
      <c r="A93" s="11">
        <v>45135</v>
      </c>
      <c r="B93" s="4" t="s">
        <v>859</v>
      </c>
      <c r="C93" s="4" t="s">
        <v>14</v>
      </c>
      <c r="D93" s="4" t="s">
        <v>1624</v>
      </c>
      <c r="E93" s="4" t="s">
        <v>24</v>
      </c>
      <c r="F93" s="4">
        <v>110</v>
      </c>
    </row>
    <row r="94" spans="1:6" x14ac:dyDescent="0.25">
      <c r="A94" s="11">
        <v>45136</v>
      </c>
      <c r="B94" s="4" t="s">
        <v>1181</v>
      </c>
      <c r="C94" s="4" t="s">
        <v>17</v>
      </c>
      <c r="D94" s="4" t="s">
        <v>806</v>
      </c>
      <c r="E94" s="4" t="s">
        <v>22</v>
      </c>
      <c r="F94" s="4">
        <v>100</v>
      </c>
    </row>
    <row r="95" spans="1:6" x14ac:dyDescent="0.25">
      <c r="A95" s="11">
        <v>45136</v>
      </c>
      <c r="B95" s="4" t="s">
        <v>1187</v>
      </c>
      <c r="C95" s="4" t="s">
        <v>17</v>
      </c>
      <c r="D95" s="4" t="s">
        <v>806</v>
      </c>
      <c r="E95" s="4" t="s">
        <v>22</v>
      </c>
      <c r="F95" s="4">
        <v>80</v>
      </c>
    </row>
    <row r="96" spans="1:6" x14ac:dyDescent="0.25">
      <c r="A96" s="11">
        <v>45137</v>
      </c>
      <c r="B96" s="4" t="s">
        <v>776</v>
      </c>
      <c r="C96" s="4" t="s">
        <v>14</v>
      </c>
      <c r="D96" s="4" t="s">
        <v>1794</v>
      </c>
      <c r="E96" s="4" t="s">
        <v>25</v>
      </c>
      <c r="F96" s="4">
        <v>134</v>
      </c>
    </row>
    <row r="97" spans="1:6" x14ac:dyDescent="0.25">
      <c r="A97" s="61">
        <v>45146</v>
      </c>
      <c r="B97" s="62" t="s">
        <v>2152</v>
      </c>
      <c r="C97" s="63" t="s">
        <v>311</v>
      </c>
      <c r="D97" s="63"/>
      <c r="E97" s="63" t="s">
        <v>23</v>
      </c>
      <c r="F97" s="63">
        <v>100</v>
      </c>
    </row>
    <row r="98" spans="1:6" x14ac:dyDescent="0.25">
      <c r="A98" s="11">
        <v>45147</v>
      </c>
      <c r="B98" s="4" t="s">
        <v>1386</v>
      </c>
      <c r="C98" s="4" t="s">
        <v>16</v>
      </c>
      <c r="D98" s="4" t="s">
        <v>571</v>
      </c>
      <c r="E98" s="4" t="s">
        <v>22</v>
      </c>
      <c r="F98" s="4">
        <v>100</v>
      </c>
    </row>
    <row r="99" spans="1:6" x14ac:dyDescent="0.25">
      <c r="A99" s="11">
        <v>45150</v>
      </c>
      <c r="B99" s="4" t="s">
        <v>2029</v>
      </c>
      <c r="C99" s="4" t="s">
        <v>17</v>
      </c>
      <c r="D99" s="11">
        <v>44952</v>
      </c>
      <c r="E99" s="4" t="s">
        <v>24</v>
      </c>
      <c r="F99" s="4">
        <v>90</v>
      </c>
    </row>
    <row r="100" spans="1:6" x14ac:dyDescent="0.25">
      <c r="A100" s="11">
        <v>45150</v>
      </c>
      <c r="B100" s="4" t="s">
        <v>2030</v>
      </c>
      <c r="C100" s="4" t="s">
        <v>17</v>
      </c>
      <c r="D100" s="11">
        <v>44952</v>
      </c>
      <c r="E100" s="4" t="s">
        <v>24</v>
      </c>
      <c r="F100" s="4">
        <v>90</v>
      </c>
    </row>
    <row r="101" spans="1:6" x14ac:dyDescent="0.25">
      <c r="A101" s="11">
        <v>45151</v>
      </c>
      <c r="B101" s="4" t="s">
        <v>1573</v>
      </c>
      <c r="C101" s="4" t="s">
        <v>16</v>
      </c>
      <c r="D101" s="4" t="s">
        <v>1574</v>
      </c>
      <c r="E101" s="4" t="s">
        <v>23</v>
      </c>
      <c r="F101" s="4">
        <v>80</v>
      </c>
    </row>
    <row r="102" spans="1:6" x14ac:dyDescent="0.25">
      <c r="A102" s="11">
        <v>45151</v>
      </c>
      <c r="B102" s="4" t="s">
        <v>1575</v>
      </c>
      <c r="C102" s="4" t="s">
        <v>311</v>
      </c>
      <c r="D102" s="4" t="s">
        <v>1574</v>
      </c>
      <c r="E102" s="4" t="s">
        <v>23</v>
      </c>
      <c r="F102" s="4">
        <v>80</v>
      </c>
    </row>
    <row r="103" spans="1:6" x14ac:dyDescent="0.25">
      <c r="A103" s="11">
        <v>45161</v>
      </c>
      <c r="B103" s="4" t="s">
        <v>936</v>
      </c>
      <c r="C103" s="4" t="s">
        <v>20</v>
      </c>
      <c r="D103" s="4" t="s">
        <v>2155</v>
      </c>
      <c r="E103" s="4" t="s">
        <v>22</v>
      </c>
      <c r="F103" s="4">
        <v>70</v>
      </c>
    </row>
    <row r="104" spans="1:6" x14ac:dyDescent="0.25">
      <c r="A104" s="11">
        <v>45161</v>
      </c>
      <c r="B104" s="4" t="s">
        <v>937</v>
      </c>
      <c r="C104" s="4" t="s">
        <v>20</v>
      </c>
      <c r="D104" s="4" t="s">
        <v>2155</v>
      </c>
      <c r="E104" s="4" t="s">
        <v>22</v>
      </c>
      <c r="F104" s="4">
        <v>70</v>
      </c>
    </row>
    <row r="105" spans="1:6" x14ac:dyDescent="0.25">
      <c r="A105" s="11">
        <v>45162</v>
      </c>
      <c r="B105" s="4" t="s">
        <v>1204</v>
      </c>
      <c r="C105" s="4" t="s">
        <v>19</v>
      </c>
      <c r="D105" s="4" t="s">
        <v>1604</v>
      </c>
      <c r="E105" s="4" t="s">
        <v>22</v>
      </c>
      <c r="F105" s="4">
        <v>150</v>
      </c>
    </row>
    <row r="106" spans="1:6" x14ac:dyDescent="0.25">
      <c r="A106" s="11">
        <v>45164</v>
      </c>
      <c r="B106" s="4" t="s">
        <v>1183</v>
      </c>
      <c r="C106" s="4" t="s">
        <v>17</v>
      </c>
      <c r="D106" s="4" t="s">
        <v>1594</v>
      </c>
      <c r="E106" s="4" t="s">
        <v>25</v>
      </c>
      <c r="F106" s="4">
        <v>120</v>
      </c>
    </row>
    <row r="107" spans="1:6" x14ac:dyDescent="0.25">
      <c r="A107" s="11">
        <v>45165</v>
      </c>
      <c r="B107" s="4" t="s">
        <v>1600</v>
      </c>
      <c r="C107" s="4" t="s">
        <v>311</v>
      </c>
      <c r="D107" s="11">
        <v>45058</v>
      </c>
      <c r="E107" s="4" t="s">
        <v>22</v>
      </c>
      <c r="F107" s="4">
        <v>80</v>
      </c>
    </row>
    <row r="108" spans="1:6" x14ac:dyDescent="0.25">
      <c r="A108" s="11">
        <v>45165</v>
      </c>
      <c r="B108" s="4" t="s">
        <v>1602</v>
      </c>
      <c r="C108" s="4" t="s">
        <v>16</v>
      </c>
      <c r="D108" s="11">
        <v>45058</v>
      </c>
      <c r="E108" s="4" t="s">
        <v>22</v>
      </c>
      <c r="F108" s="4">
        <v>80</v>
      </c>
    </row>
    <row r="109" spans="1:6" x14ac:dyDescent="0.25">
      <c r="A109" s="11">
        <v>45171</v>
      </c>
      <c r="B109" s="4" t="s">
        <v>1589</v>
      </c>
      <c r="C109" s="4" t="s">
        <v>1195</v>
      </c>
      <c r="D109" s="4" t="s">
        <v>1590</v>
      </c>
      <c r="E109" s="4" t="s">
        <v>22</v>
      </c>
      <c r="F109" s="4">
        <v>80</v>
      </c>
    </row>
    <row r="110" spans="1:6" x14ac:dyDescent="0.25">
      <c r="A110" s="11">
        <v>45171</v>
      </c>
      <c r="B110" s="4" t="s">
        <v>1592</v>
      </c>
      <c r="C110" s="4" t="s">
        <v>20</v>
      </c>
      <c r="D110" s="4" t="s">
        <v>1043</v>
      </c>
      <c r="E110" s="4" t="s">
        <v>23</v>
      </c>
      <c r="F110" s="4">
        <v>80</v>
      </c>
    </row>
    <row r="111" spans="1:6" x14ac:dyDescent="0.25">
      <c r="A111" s="11">
        <v>45172</v>
      </c>
      <c r="B111" s="4" t="s">
        <v>1579</v>
      </c>
      <c r="C111" s="4" t="s">
        <v>16</v>
      </c>
      <c r="D111" s="4" t="s">
        <v>553</v>
      </c>
      <c r="E111" s="4" t="s">
        <v>22</v>
      </c>
      <c r="F111" s="4">
        <v>80</v>
      </c>
    </row>
    <row r="112" spans="1:6" x14ac:dyDescent="0.25">
      <c r="A112" s="11">
        <v>45172</v>
      </c>
      <c r="B112" s="4" t="s">
        <v>1581</v>
      </c>
      <c r="C112" s="4" t="s">
        <v>16</v>
      </c>
      <c r="D112" s="4" t="s">
        <v>553</v>
      </c>
      <c r="E112" s="4" t="s">
        <v>23</v>
      </c>
      <c r="F112" s="4">
        <v>80</v>
      </c>
    </row>
    <row r="113" spans="1:6" x14ac:dyDescent="0.25">
      <c r="A113" s="11">
        <v>45173</v>
      </c>
      <c r="B113" s="4" t="s">
        <v>1596</v>
      </c>
      <c r="C113" s="4" t="s">
        <v>17</v>
      </c>
      <c r="D113" s="4" t="s">
        <v>828</v>
      </c>
      <c r="E113" s="4" t="s">
        <v>23</v>
      </c>
      <c r="F113" s="4">
        <v>80</v>
      </c>
    </row>
    <row r="114" spans="1:6" x14ac:dyDescent="0.25">
      <c r="A114" s="11">
        <v>45175</v>
      </c>
      <c r="B114" s="4" t="s">
        <v>1586</v>
      </c>
      <c r="C114" s="4" t="s">
        <v>18</v>
      </c>
      <c r="D114" s="4" t="s">
        <v>1587</v>
      </c>
      <c r="E114" s="4" t="s">
        <v>23</v>
      </c>
      <c r="F114" s="4">
        <v>80</v>
      </c>
    </row>
    <row r="115" spans="1:6" x14ac:dyDescent="0.25">
      <c r="A115" s="11">
        <v>45178</v>
      </c>
      <c r="B115" s="4" t="s">
        <v>1583</v>
      </c>
      <c r="C115" s="4" t="s">
        <v>311</v>
      </c>
      <c r="D115" s="4" t="s">
        <v>513</v>
      </c>
      <c r="E115" s="4" t="s">
        <v>22</v>
      </c>
      <c r="F115" s="4">
        <v>80</v>
      </c>
    </row>
    <row r="116" spans="1:6" x14ac:dyDescent="0.25">
      <c r="A116" s="11">
        <v>45179</v>
      </c>
      <c r="B116" s="4" t="s">
        <v>1598</v>
      </c>
      <c r="C116" s="4" t="s">
        <v>16</v>
      </c>
      <c r="D116" s="4" t="s">
        <v>1322</v>
      </c>
      <c r="E116" s="4" t="s">
        <v>22</v>
      </c>
      <c r="F116" s="4">
        <v>80</v>
      </c>
    </row>
    <row r="117" spans="1:6" x14ac:dyDescent="0.25">
      <c r="A117" s="11">
        <v>45179</v>
      </c>
      <c r="B117" s="4" t="s">
        <v>1599</v>
      </c>
      <c r="C117" s="4" t="s">
        <v>16</v>
      </c>
      <c r="D117" s="4" t="s">
        <v>1322</v>
      </c>
      <c r="E117" s="4" t="s">
        <v>22</v>
      </c>
      <c r="F117" s="4">
        <v>80</v>
      </c>
    </row>
    <row r="118" spans="1:6" x14ac:dyDescent="0.25">
      <c r="A118" s="11">
        <v>45182</v>
      </c>
      <c r="B118" s="4" t="s">
        <v>1614</v>
      </c>
      <c r="C118" s="4" t="s">
        <v>17</v>
      </c>
      <c r="D118" s="4" t="s">
        <v>1618</v>
      </c>
      <c r="E118" s="4" t="s">
        <v>23</v>
      </c>
      <c r="F118" s="4">
        <v>80</v>
      </c>
    </row>
    <row r="119" spans="1:6" x14ac:dyDescent="0.25">
      <c r="A119" s="11">
        <v>45184</v>
      </c>
      <c r="B119" s="4" t="s">
        <v>1030</v>
      </c>
      <c r="C119" s="4" t="s">
        <v>19</v>
      </c>
      <c r="D119" s="4" t="s">
        <v>1610</v>
      </c>
      <c r="E119" s="4" t="s">
        <v>22</v>
      </c>
      <c r="F119" s="4">
        <v>80</v>
      </c>
    </row>
    <row r="120" spans="1:6" x14ac:dyDescent="0.25">
      <c r="A120" s="11">
        <v>45184</v>
      </c>
      <c r="B120" s="4" t="s">
        <v>1029</v>
      </c>
      <c r="C120" s="4" t="s">
        <v>1195</v>
      </c>
      <c r="D120" s="4" t="s">
        <v>1610</v>
      </c>
      <c r="E120" s="4" t="s">
        <v>22</v>
      </c>
      <c r="F120" s="4">
        <v>80</v>
      </c>
    </row>
    <row r="121" spans="1:6" x14ac:dyDescent="0.25">
      <c r="A121" s="11">
        <v>45185</v>
      </c>
      <c r="B121" s="4" t="s">
        <v>1606</v>
      </c>
      <c r="C121" s="4" t="s">
        <v>19</v>
      </c>
      <c r="D121" s="4" t="s">
        <v>553</v>
      </c>
      <c r="E121" s="4" t="s">
        <v>22</v>
      </c>
      <c r="F121" s="4">
        <v>80</v>
      </c>
    </row>
    <row r="122" spans="1:6" x14ac:dyDescent="0.25">
      <c r="A122" s="11">
        <v>45185</v>
      </c>
      <c r="B122" s="4" t="s">
        <v>1607</v>
      </c>
      <c r="C122" s="4" t="s">
        <v>16</v>
      </c>
      <c r="D122" s="4" t="s">
        <v>553</v>
      </c>
      <c r="E122" s="4" t="s">
        <v>23</v>
      </c>
      <c r="F122" s="4">
        <v>90</v>
      </c>
    </row>
    <row r="123" spans="1:6" x14ac:dyDescent="0.25">
      <c r="A123" s="11">
        <v>45185</v>
      </c>
      <c r="B123" s="4" t="s">
        <v>1608</v>
      </c>
      <c r="C123" s="4" t="s">
        <v>16</v>
      </c>
      <c r="D123" s="4" t="s">
        <v>553</v>
      </c>
      <c r="E123" s="4" t="s">
        <v>23</v>
      </c>
      <c r="F123" s="4">
        <v>80</v>
      </c>
    </row>
    <row r="124" spans="1:6" x14ac:dyDescent="0.25">
      <c r="A124" s="11">
        <v>45186</v>
      </c>
      <c r="B124" s="4" t="s">
        <v>1376</v>
      </c>
      <c r="C124" s="4" t="s">
        <v>16</v>
      </c>
      <c r="D124" s="4" t="s">
        <v>553</v>
      </c>
      <c r="E124" s="4" t="s">
        <v>23</v>
      </c>
      <c r="F124" s="4">
        <v>120</v>
      </c>
    </row>
    <row r="125" spans="1:6" x14ac:dyDescent="0.25">
      <c r="A125" s="11">
        <v>45187</v>
      </c>
      <c r="B125" s="4" t="s">
        <v>1191</v>
      </c>
      <c r="C125" s="4" t="s">
        <v>311</v>
      </c>
      <c r="D125" s="4" t="s">
        <v>1619</v>
      </c>
      <c r="E125" s="4" t="s">
        <v>23</v>
      </c>
      <c r="F125" s="4">
        <v>80</v>
      </c>
    </row>
    <row r="126" spans="1:6" x14ac:dyDescent="0.25">
      <c r="A126" s="11">
        <v>45187</v>
      </c>
      <c r="B126" s="4" t="s">
        <v>1190</v>
      </c>
      <c r="C126" s="4" t="s">
        <v>311</v>
      </c>
      <c r="D126" s="4" t="s">
        <v>1619</v>
      </c>
      <c r="E126" s="4" t="s">
        <v>23</v>
      </c>
      <c r="F126" s="4">
        <v>80</v>
      </c>
    </row>
    <row r="127" spans="1:6" x14ac:dyDescent="0.25">
      <c r="A127" s="11">
        <v>45187</v>
      </c>
      <c r="B127" s="4" t="s">
        <v>1375</v>
      </c>
      <c r="C127" s="4" t="s">
        <v>17</v>
      </c>
      <c r="D127" s="4" t="s">
        <v>1621</v>
      </c>
      <c r="E127" s="4" t="s">
        <v>25</v>
      </c>
      <c r="F127" s="4">
        <v>245</v>
      </c>
    </row>
    <row r="128" spans="1:6" x14ac:dyDescent="0.25">
      <c r="A128" s="11">
        <v>45187</v>
      </c>
      <c r="B128" s="4" t="s">
        <v>1192</v>
      </c>
      <c r="C128" s="4" t="s">
        <v>311</v>
      </c>
      <c r="D128" s="4" t="s">
        <v>1619</v>
      </c>
      <c r="E128" s="4" t="s">
        <v>23</v>
      </c>
      <c r="F128" s="4">
        <v>80</v>
      </c>
    </row>
    <row r="129" spans="1:6" x14ac:dyDescent="0.25">
      <c r="A129" s="11">
        <v>45189</v>
      </c>
      <c r="B129" s="4" t="s">
        <v>1564</v>
      </c>
      <c r="C129" s="4" t="s">
        <v>20</v>
      </c>
      <c r="D129" s="4" t="s">
        <v>1627</v>
      </c>
      <c r="E129" s="4" t="s">
        <v>23</v>
      </c>
      <c r="F129" s="4">
        <v>80</v>
      </c>
    </row>
    <row r="130" spans="1:6" x14ac:dyDescent="0.25">
      <c r="A130" s="61">
        <v>45190</v>
      </c>
      <c r="B130" s="62" t="s">
        <v>2156</v>
      </c>
      <c r="C130" s="63" t="s">
        <v>17</v>
      </c>
      <c r="D130" s="63" t="s">
        <v>2157</v>
      </c>
      <c r="E130" s="63" t="s">
        <v>24</v>
      </c>
      <c r="F130" s="63">
        <v>100</v>
      </c>
    </row>
    <row r="131" spans="1:6" x14ac:dyDescent="0.25">
      <c r="A131" s="61">
        <v>45190</v>
      </c>
      <c r="B131" s="62" t="s">
        <v>2158</v>
      </c>
      <c r="C131" s="63" t="s">
        <v>17</v>
      </c>
      <c r="D131" s="63" t="s">
        <v>2159</v>
      </c>
      <c r="E131" s="63" t="s">
        <v>25</v>
      </c>
      <c r="F131" s="63">
        <v>100</v>
      </c>
    </row>
    <row r="132" spans="1:6" x14ac:dyDescent="0.25">
      <c r="A132" s="11">
        <v>45195</v>
      </c>
      <c r="B132" s="4" t="s">
        <v>1725</v>
      </c>
      <c r="C132" s="4" t="s">
        <v>17</v>
      </c>
      <c r="D132" s="4" t="s">
        <v>1642</v>
      </c>
      <c r="E132" s="4" t="s">
        <v>22</v>
      </c>
      <c r="F132" s="4">
        <v>80</v>
      </c>
    </row>
    <row r="133" spans="1:6" x14ac:dyDescent="0.25">
      <c r="A133" s="11">
        <v>45203</v>
      </c>
      <c r="B133" s="4" t="s">
        <v>1791</v>
      </c>
      <c r="C133" s="4" t="s">
        <v>16</v>
      </c>
      <c r="D133" s="4" t="s">
        <v>591</v>
      </c>
      <c r="E133" s="4" t="s">
        <v>25</v>
      </c>
      <c r="F133" s="4">
        <v>110</v>
      </c>
    </row>
    <row r="134" spans="1:6" x14ac:dyDescent="0.25">
      <c r="A134" s="11">
        <v>45203</v>
      </c>
      <c r="B134" s="4" t="s">
        <v>1793</v>
      </c>
      <c r="C134" s="4" t="s">
        <v>16</v>
      </c>
      <c r="D134" s="4" t="s">
        <v>591</v>
      </c>
      <c r="E134" s="4" t="s">
        <v>25</v>
      </c>
      <c r="F134" s="4">
        <v>110</v>
      </c>
    </row>
    <row r="135" spans="1:6" x14ac:dyDescent="0.25">
      <c r="A135" s="11">
        <v>45212</v>
      </c>
      <c r="B135" s="4" t="s">
        <v>739</v>
      </c>
      <c r="C135" s="4" t="s">
        <v>16</v>
      </c>
      <c r="D135" s="4" t="s">
        <v>1870</v>
      </c>
      <c r="E135" s="4" t="s">
        <v>24</v>
      </c>
      <c r="F135" s="4">
        <v>110</v>
      </c>
    </row>
    <row r="136" spans="1:6" x14ac:dyDescent="0.25">
      <c r="A136" s="11">
        <v>45215</v>
      </c>
      <c r="B136" s="4" t="s">
        <v>1734</v>
      </c>
      <c r="C136" s="4" t="s">
        <v>17</v>
      </c>
      <c r="D136" s="4" t="s">
        <v>1940</v>
      </c>
      <c r="E136" s="4" t="s">
        <v>23</v>
      </c>
      <c r="F136" s="4">
        <v>80</v>
      </c>
    </row>
    <row r="137" spans="1:6" x14ac:dyDescent="0.25">
      <c r="A137" s="11">
        <v>45219</v>
      </c>
      <c r="B137" s="4" t="s">
        <v>1299</v>
      </c>
      <c r="C137" s="4" t="s">
        <v>17</v>
      </c>
      <c r="D137" s="11">
        <v>45028</v>
      </c>
      <c r="E137" s="4" t="s">
        <v>25</v>
      </c>
      <c r="F137" s="4">
        <v>110</v>
      </c>
    </row>
    <row r="138" spans="1:6" x14ac:dyDescent="0.25">
      <c r="A138" s="11">
        <v>45220</v>
      </c>
      <c r="B138" s="4" t="s">
        <v>1276</v>
      </c>
      <c r="C138" s="4" t="s">
        <v>20</v>
      </c>
      <c r="D138" s="4" t="s">
        <v>1934</v>
      </c>
      <c r="E138" s="4" t="s">
        <v>24</v>
      </c>
      <c r="F138" s="4">
        <v>110</v>
      </c>
    </row>
    <row r="139" spans="1:6" x14ac:dyDescent="0.25">
      <c r="A139" s="11">
        <v>45232</v>
      </c>
      <c r="B139" s="4" t="s">
        <v>1341</v>
      </c>
      <c r="C139" s="4" t="s">
        <v>16</v>
      </c>
      <c r="D139" s="4" t="s">
        <v>600</v>
      </c>
      <c r="E139" s="4" t="s">
        <v>25</v>
      </c>
      <c r="F139" s="4">
        <v>110</v>
      </c>
    </row>
    <row r="140" spans="1:6" x14ac:dyDescent="0.25">
      <c r="A140" s="11">
        <v>45239</v>
      </c>
      <c r="B140" s="4" t="s">
        <v>1507</v>
      </c>
      <c r="C140" s="4" t="s">
        <v>311</v>
      </c>
      <c r="D140" s="11">
        <v>45137</v>
      </c>
      <c r="E140" s="4" t="s">
        <v>23</v>
      </c>
      <c r="F140" s="4">
        <v>80</v>
      </c>
    </row>
    <row r="141" spans="1:6" x14ac:dyDescent="0.25">
      <c r="A141" s="11">
        <v>45242</v>
      </c>
      <c r="B141" s="4" t="s">
        <v>2087</v>
      </c>
      <c r="C141" s="4" t="s">
        <v>20</v>
      </c>
      <c r="D141" s="4" t="s">
        <v>2088</v>
      </c>
      <c r="E141" s="4" t="s">
        <v>25</v>
      </c>
      <c r="F141" s="4">
        <v>110</v>
      </c>
    </row>
    <row r="142" spans="1:6" x14ac:dyDescent="0.25">
      <c r="A142" s="11">
        <v>45244</v>
      </c>
      <c r="B142" s="4" t="s">
        <v>1787</v>
      </c>
      <c r="C142" s="4" t="s">
        <v>311</v>
      </c>
      <c r="D142" s="4" t="s">
        <v>1937</v>
      </c>
      <c r="E142" s="4" t="s">
        <v>25</v>
      </c>
      <c r="F142" s="4">
        <v>110</v>
      </c>
    </row>
    <row r="143" spans="1:6" x14ac:dyDescent="0.25">
      <c r="A143" s="11">
        <v>45245</v>
      </c>
      <c r="B143" s="4" t="s">
        <v>822</v>
      </c>
      <c r="C143" s="4" t="s">
        <v>16</v>
      </c>
      <c r="D143" s="4" t="s">
        <v>1969</v>
      </c>
      <c r="E143" s="4" t="s">
        <v>25</v>
      </c>
      <c r="F143" s="4">
        <v>110</v>
      </c>
    </row>
    <row r="144" spans="1:6" x14ac:dyDescent="0.25">
      <c r="A144" s="11">
        <v>45251</v>
      </c>
      <c r="B144" s="4" t="s">
        <v>1803</v>
      </c>
      <c r="C144" s="4" t="s">
        <v>311</v>
      </c>
      <c r="D144" s="11">
        <v>45078</v>
      </c>
      <c r="E144" s="4" t="s">
        <v>23</v>
      </c>
      <c r="F144" s="4">
        <v>80</v>
      </c>
    </row>
    <row r="145" spans="1:6" x14ac:dyDescent="0.25">
      <c r="A145" s="11">
        <v>45253</v>
      </c>
      <c r="B145" s="4" t="s">
        <v>2028</v>
      </c>
      <c r="C145" s="4" t="s">
        <v>20</v>
      </c>
      <c r="D145" s="11">
        <v>45057</v>
      </c>
      <c r="E145" s="4" t="s">
        <v>22</v>
      </c>
      <c r="F145" s="4">
        <v>80</v>
      </c>
    </row>
    <row r="146" spans="1:6" x14ac:dyDescent="0.25">
      <c r="A146" s="11">
        <v>45253</v>
      </c>
      <c r="B146" s="4" t="s">
        <v>1420</v>
      </c>
      <c r="C146" s="4" t="s">
        <v>311</v>
      </c>
      <c r="D146" s="4" t="s">
        <v>1925</v>
      </c>
      <c r="E146" s="4" t="s">
        <v>22</v>
      </c>
      <c r="F146" s="4">
        <v>80</v>
      </c>
    </row>
    <row r="147" spans="1:6" x14ac:dyDescent="0.25">
      <c r="A147" s="11">
        <v>45253</v>
      </c>
      <c r="B147" s="4" t="s">
        <v>1421</v>
      </c>
      <c r="C147" s="4" t="s">
        <v>311</v>
      </c>
      <c r="D147" s="4" t="s">
        <v>1925</v>
      </c>
      <c r="E147" s="4" t="s">
        <v>22</v>
      </c>
      <c r="F147" s="4">
        <v>80</v>
      </c>
    </row>
    <row r="148" spans="1:6" x14ac:dyDescent="0.25">
      <c r="A148" s="11">
        <v>45254</v>
      </c>
      <c r="B148" s="4" t="s">
        <v>1397</v>
      </c>
      <c r="C148" s="4" t="s">
        <v>311</v>
      </c>
      <c r="D148" s="4" t="s">
        <v>1809</v>
      </c>
      <c r="E148" s="4" t="s">
        <v>25</v>
      </c>
    </row>
    <row r="149" spans="1:6" x14ac:dyDescent="0.25">
      <c r="A149" s="11">
        <v>45254</v>
      </c>
      <c r="B149" s="4" t="s">
        <v>1398</v>
      </c>
      <c r="C149" s="4" t="s">
        <v>311</v>
      </c>
      <c r="D149" s="4" t="s">
        <v>1809</v>
      </c>
      <c r="E149" s="4" t="s">
        <v>25</v>
      </c>
    </row>
    <row r="150" spans="1:6" x14ac:dyDescent="0.25">
      <c r="A150" s="11">
        <v>45255</v>
      </c>
      <c r="B150" s="4" t="s">
        <v>1816</v>
      </c>
      <c r="C150" s="4" t="s">
        <v>16</v>
      </c>
      <c r="D150" s="4" t="s">
        <v>1870</v>
      </c>
      <c r="E150" s="4" t="s">
        <v>25</v>
      </c>
      <c r="F150" s="4">
        <v>110</v>
      </c>
    </row>
    <row r="151" spans="1:6" x14ac:dyDescent="0.25">
      <c r="A151" s="11">
        <v>45255</v>
      </c>
      <c r="B151" s="4" t="s">
        <v>1804</v>
      </c>
      <c r="C151" s="4" t="s">
        <v>17</v>
      </c>
      <c r="D151" s="4" t="s">
        <v>1965</v>
      </c>
      <c r="E151" s="4" t="s">
        <v>24</v>
      </c>
      <c r="F151" s="4">
        <v>110</v>
      </c>
    </row>
    <row r="152" spans="1:6" x14ac:dyDescent="0.25">
      <c r="A152" s="11">
        <v>45257</v>
      </c>
      <c r="B152" s="4" t="s">
        <v>1867</v>
      </c>
      <c r="C152" s="4" t="s">
        <v>20</v>
      </c>
      <c r="D152" s="4" t="s">
        <v>1868</v>
      </c>
      <c r="E152" s="4" t="s">
        <v>25</v>
      </c>
      <c r="F152" s="4">
        <v>110</v>
      </c>
    </row>
    <row r="153" spans="1:6" x14ac:dyDescent="0.25">
      <c r="A153" s="11">
        <v>45264</v>
      </c>
      <c r="B153" s="4" t="s">
        <v>1666</v>
      </c>
      <c r="C153" s="4" t="s">
        <v>17</v>
      </c>
      <c r="D153" s="4" t="s">
        <v>1926</v>
      </c>
      <c r="E153" s="4" t="s">
        <v>24</v>
      </c>
      <c r="F153" s="4">
        <v>125</v>
      </c>
    </row>
    <row r="154" spans="1:6" x14ac:dyDescent="0.25">
      <c r="A154" s="11">
        <v>45264</v>
      </c>
      <c r="B154" s="4" t="s">
        <v>1667</v>
      </c>
      <c r="C154" s="4" t="s">
        <v>20</v>
      </c>
      <c r="D154" s="4" t="s">
        <v>1926</v>
      </c>
      <c r="E154" s="4" t="s">
        <v>25</v>
      </c>
      <c r="F154" s="4">
        <v>125</v>
      </c>
    </row>
    <row r="155" spans="1:6" x14ac:dyDescent="0.25">
      <c r="A155" s="11">
        <v>45265</v>
      </c>
      <c r="B155" s="4" t="s">
        <v>1850</v>
      </c>
      <c r="C155" s="4" t="s">
        <v>311</v>
      </c>
      <c r="D155" s="4" t="s">
        <v>1925</v>
      </c>
      <c r="E155" s="4" t="s">
        <v>22</v>
      </c>
      <c r="F155" s="4">
        <v>80</v>
      </c>
    </row>
    <row r="156" spans="1:6" x14ac:dyDescent="0.25">
      <c r="A156" s="11">
        <v>45271</v>
      </c>
      <c r="B156" s="4" t="s">
        <v>2162</v>
      </c>
      <c r="C156" s="4" t="s">
        <v>17</v>
      </c>
      <c r="D156" s="4" t="s">
        <v>824</v>
      </c>
      <c r="E156" s="4" t="s">
        <v>25</v>
      </c>
      <c r="F156" s="4">
        <v>110</v>
      </c>
    </row>
    <row r="157" spans="1:6" x14ac:dyDescent="0.25">
      <c r="A157" s="11">
        <v>45273</v>
      </c>
      <c r="B157" s="4" t="s">
        <v>1856</v>
      </c>
      <c r="C157" s="4" t="s">
        <v>311</v>
      </c>
      <c r="D157" s="4" t="s">
        <v>1960</v>
      </c>
      <c r="E157" s="4" t="s">
        <v>23</v>
      </c>
      <c r="F157" s="4">
        <v>80</v>
      </c>
    </row>
    <row r="158" spans="1:6" x14ac:dyDescent="0.25">
      <c r="A158" s="11">
        <v>45273</v>
      </c>
      <c r="B158" s="4" t="s">
        <v>1857</v>
      </c>
      <c r="C158" s="4" t="s">
        <v>311</v>
      </c>
      <c r="D158" s="4" t="s">
        <v>1960</v>
      </c>
      <c r="E158" s="4" t="s">
        <v>23</v>
      </c>
      <c r="F158" s="4">
        <v>80</v>
      </c>
    </row>
    <row r="159" spans="1:6" x14ac:dyDescent="0.25">
      <c r="A159" s="11">
        <v>45276</v>
      </c>
      <c r="B159" s="4" t="s">
        <v>1280</v>
      </c>
      <c r="C159" s="4" t="s">
        <v>17</v>
      </c>
      <c r="D159" s="4" t="s">
        <v>1968</v>
      </c>
      <c r="E159" s="4" t="s">
        <v>24</v>
      </c>
      <c r="F159" s="4">
        <v>100</v>
      </c>
    </row>
    <row r="160" spans="1:6" x14ac:dyDescent="0.25">
      <c r="A160" s="11">
        <v>45276</v>
      </c>
      <c r="B160" s="4" t="s">
        <v>1281</v>
      </c>
      <c r="C160" s="4" t="s">
        <v>20</v>
      </c>
      <c r="D160" s="4" t="s">
        <v>1968</v>
      </c>
      <c r="E160" s="4" t="s">
        <v>24</v>
      </c>
      <c r="F160" s="4">
        <v>75</v>
      </c>
    </row>
    <row r="161" spans="1:6" x14ac:dyDescent="0.25">
      <c r="A161" s="11">
        <v>45278</v>
      </c>
      <c r="B161" s="4" t="s">
        <v>1874</v>
      </c>
      <c r="C161" s="4" t="s">
        <v>20</v>
      </c>
      <c r="D161" s="4" t="s">
        <v>977</v>
      </c>
      <c r="E161" s="4" t="s">
        <v>24</v>
      </c>
      <c r="F161" s="4">
        <v>110</v>
      </c>
    </row>
    <row r="162" spans="1:6" x14ac:dyDescent="0.25">
      <c r="A162" s="11">
        <v>45279</v>
      </c>
      <c r="B162" s="4" t="s">
        <v>1736</v>
      </c>
      <c r="C162" s="4" t="s">
        <v>17</v>
      </c>
      <c r="D162" s="4" t="s">
        <v>1940</v>
      </c>
      <c r="E162" s="4" t="s">
        <v>24</v>
      </c>
      <c r="F162" s="4">
        <v>110</v>
      </c>
    </row>
    <row r="163" spans="1:6" x14ac:dyDescent="0.25">
      <c r="A163" s="11">
        <v>45282</v>
      </c>
      <c r="B163" s="4" t="s">
        <v>1875</v>
      </c>
      <c r="C163" s="4" t="s">
        <v>18</v>
      </c>
      <c r="D163" s="4" t="s">
        <v>1928</v>
      </c>
      <c r="E163" s="4" t="s">
        <v>24</v>
      </c>
      <c r="F163" s="4">
        <v>110</v>
      </c>
    </row>
    <row r="164" spans="1:6" x14ac:dyDescent="0.25">
      <c r="A164" s="11">
        <v>45282</v>
      </c>
      <c r="B164" s="4" t="s">
        <v>1929</v>
      </c>
      <c r="C164" s="4" t="s">
        <v>127</v>
      </c>
      <c r="D164" s="4" t="s">
        <v>1930</v>
      </c>
      <c r="E164" s="4" t="s">
        <v>23</v>
      </c>
      <c r="F164" s="4">
        <v>80</v>
      </c>
    </row>
    <row r="165" spans="1:6" x14ac:dyDescent="0.25">
      <c r="A165" s="11">
        <v>45284</v>
      </c>
      <c r="B165" s="4" t="s">
        <v>1282</v>
      </c>
      <c r="C165" s="4" t="s">
        <v>17</v>
      </c>
      <c r="D165" s="11">
        <v>45074</v>
      </c>
      <c r="E165" s="4" t="s">
        <v>25</v>
      </c>
      <c r="F165" s="4">
        <v>110</v>
      </c>
    </row>
    <row r="166" spans="1:6" x14ac:dyDescent="0.25">
      <c r="A166" s="11">
        <v>45284</v>
      </c>
      <c r="B166" s="4" t="s">
        <v>1283</v>
      </c>
      <c r="C166" s="4" t="s">
        <v>17</v>
      </c>
      <c r="D166" s="11">
        <v>45074</v>
      </c>
      <c r="E166" s="4" t="s">
        <v>25</v>
      </c>
      <c r="F166" s="4">
        <v>110</v>
      </c>
    </row>
    <row r="167" spans="1:6" x14ac:dyDescent="0.25">
      <c r="A167" s="11">
        <v>45284</v>
      </c>
      <c r="B167" s="4" t="s">
        <v>1555</v>
      </c>
      <c r="C167" s="4" t="s">
        <v>311</v>
      </c>
      <c r="D167" s="4" t="s">
        <v>1557</v>
      </c>
      <c r="E167" s="4" t="s">
        <v>23</v>
      </c>
      <c r="F167" s="4">
        <v>80</v>
      </c>
    </row>
    <row r="168" spans="1:6" x14ac:dyDescent="0.25">
      <c r="A168" s="11">
        <v>45290</v>
      </c>
      <c r="B168" s="4" t="s">
        <v>939</v>
      </c>
      <c r="C168" s="4" t="s">
        <v>16</v>
      </c>
      <c r="D168" s="4" t="s">
        <v>2449</v>
      </c>
      <c r="E168" s="4" t="s">
        <v>25</v>
      </c>
      <c r="F168" s="4">
        <v>110</v>
      </c>
    </row>
    <row r="169" spans="1:6" x14ac:dyDescent="0.25">
      <c r="A169" s="11">
        <v>45038</v>
      </c>
      <c r="B169" s="4" t="s">
        <v>2566</v>
      </c>
      <c r="C169" s="4" t="s">
        <v>17</v>
      </c>
      <c r="D169" s="4" t="s">
        <v>384</v>
      </c>
      <c r="E169" s="4" t="s">
        <v>25</v>
      </c>
      <c r="F169" s="4">
        <v>50</v>
      </c>
    </row>
    <row r="170" spans="1:6" x14ac:dyDescent="0.25">
      <c r="A170" s="11">
        <v>45069</v>
      </c>
      <c r="B170" s="4" t="s">
        <v>892</v>
      </c>
      <c r="C170" s="4" t="s">
        <v>311</v>
      </c>
      <c r="D170" s="4" t="s">
        <v>894</v>
      </c>
      <c r="E170" s="4" t="s">
        <v>2227</v>
      </c>
    </row>
    <row r="171" spans="1:6" x14ac:dyDescent="0.25">
      <c r="A171" s="11">
        <v>45069</v>
      </c>
      <c r="B171" s="4" t="s">
        <v>893</v>
      </c>
      <c r="C171" s="4" t="s">
        <v>311</v>
      </c>
      <c r="D171" s="4" t="s">
        <v>894</v>
      </c>
      <c r="E171" s="4" t="s">
        <v>2228</v>
      </c>
    </row>
  </sheetData>
  <sortState xmlns:xlrd2="http://schemas.microsoft.com/office/spreadsheetml/2017/richdata2" ref="A2:H167">
    <sortCondition ref="A1:A167"/>
  </sortState>
  <pageMargins left="0.7" right="0.7" top="0.75" bottom="0.75" header="0.3" footer="0.3"/>
  <pageSetup paperSize="9" orientation="portrait" horizontalDpi="4294967292" r:id="rId1"/>
  <extLst>
    <ext xmlns:x14="http://schemas.microsoft.com/office/spreadsheetml/2009/9/main" uri="{CCE6A557-97BC-4b89-ADB6-D9C93CAAB3DF}">
      <x14:dataValidations xmlns:xm="http://schemas.microsoft.com/office/excel/2006/main" count="2">
        <x14:dataValidation type="list" allowBlank="1" showInputMessage="1" showErrorMessage="1" xr:uid="{DB97676F-2B06-4151-93CB-424356F3ECD8}">
          <x14:formula1>
            <xm:f>LIST!$B$3:$B$17</xm:f>
          </x14:formula1>
          <xm:sqref>C1:C1048576</xm:sqref>
        </x14:dataValidation>
        <x14:dataValidation type="list" allowBlank="1" showInputMessage="1" showErrorMessage="1" xr:uid="{87596EA0-1E32-442E-BEF8-6F5769F4A053}">
          <x14:formula1>
            <xm:f>LIST!$C$3:$C$6</xm:f>
          </x14:formula1>
          <xm:sqref>E1:E1048576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693B6-0CD3-427D-870C-95D8AC5E7FC9}">
  <dimension ref="A1:H211"/>
  <sheetViews>
    <sheetView workbookViewId="0">
      <pane ySplit="1" topLeftCell="A63" activePane="bottomLeft" state="frozen"/>
      <selection pane="bottomLeft" activeCell="B73" sqref="B73"/>
    </sheetView>
  </sheetViews>
  <sheetFormatPr defaultRowHeight="15" x14ac:dyDescent="0.25"/>
  <cols>
    <col min="1" max="1" width="21.5703125" style="4" customWidth="1"/>
    <col min="2" max="2" width="49.140625" style="4" customWidth="1"/>
    <col min="3" max="4" width="21.140625" style="4" customWidth="1"/>
    <col min="5" max="5" width="19.5703125" style="4" customWidth="1"/>
    <col min="6" max="6" width="15.7109375" customWidth="1"/>
    <col min="7" max="7" width="35" customWidth="1"/>
  </cols>
  <sheetData>
    <row r="1" spans="1:8" x14ac:dyDescent="0.25">
      <c r="A1" s="1" t="s">
        <v>505</v>
      </c>
      <c r="B1" s="1" t="s">
        <v>506</v>
      </c>
      <c r="C1" s="1" t="s">
        <v>21</v>
      </c>
      <c r="D1" s="1" t="s">
        <v>3</v>
      </c>
      <c r="E1" s="1" t="s">
        <v>2</v>
      </c>
      <c r="F1" s="26" t="s">
        <v>507</v>
      </c>
      <c r="G1" s="1" t="s">
        <v>610</v>
      </c>
      <c r="H1">
        <f>SUM(F2:F452)</f>
        <v>12901</v>
      </c>
    </row>
    <row r="2" spans="1:8" x14ac:dyDescent="0.25">
      <c r="A2" s="11">
        <v>44564</v>
      </c>
      <c r="B2" s="4" t="s">
        <v>508</v>
      </c>
      <c r="C2" s="4" t="s">
        <v>14</v>
      </c>
      <c r="D2" s="4" t="s">
        <v>575</v>
      </c>
      <c r="E2" s="4" t="s">
        <v>24</v>
      </c>
    </row>
    <row r="3" spans="1:8" x14ac:dyDescent="0.25">
      <c r="A3" s="11">
        <v>44564</v>
      </c>
      <c r="B3" s="4" t="s">
        <v>1258</v>
      </c>
      <c r="C3" s="4" t="s">
        <v>16</v>
      </c>
      <c r="D3" s="4" t="s">
        <v>575</v>
      </c>
      <c r="E3" s="4" t="s">
        <v>25</v>
      </c>
      <c r="F3">
        <v>50</v>
      </c>
    </row>
    <row r="4" spans="1:8" x14ac:dyDescent="0.25">
      <c r="A4" s="11">
        <v>44565</v>
      </c>
      <c r="B4" s="4" t="s">
        <v>608</v>
      </c>
      <c r="D4" s="4" t="s">
        <v>600</v>
      </c>
      <c r="E4" s="4" t="s">
        <v>23</v>
      </c>
    </row>
    <row r="5" spans="1:8" x14ac:dyDescent="0.25">
      <c r="A5" s="11">
        <v>44565</v>
      </c>
      <c r="B5" s="4" t="s">
        <v>1257</v>
      </c>
      <c r="D5" s="4" t="s">
        <v>600</v>
      </c>
      <c r="E5" s="4" t="s">
        <v>23</v>
      </c>
    </row>
    <row r="6" spans="1:8" x14ac:dyDescent="0.25">
      <c r="A6" s="11">
        <v>44570</v>
      </c>
      <c r="B6" s="4" t="s">
        <v>1256</v>
      </c>
      <c r="C6" s="4" t="s">
        <v>17</v>
      </c>
      <c r="D6" s="4" t="s">
        <v>527</v>
      </c>
      <c r="E6" s="4" t="s">
        <v>23</v>
      </c>
      <c r="F6">
        <v>30</v>
      </c>
    </row>
    <row r="7" spans="1:8" x14ac:dyDescent="0.25">
      <c r="A7" s="11">
        <v>44570</v>
      </c>
      <c r="B7" s="4" t="s">
        <v>1133</v>
      </c>
      <c r="C7" s="4" t="s">
        <v>20</v>
      </c>
      <c r="D7" s="4" t="s">
        <v>1088</v>
      </c>
      <c r="E7" s="4" t="s">
        <v>22</v>
      </c>
    </row>
    <row r="8" spans="1:8" x14ac:dyDescent="0.25">
      <c r="A8" s="11">
        <v>44570</v>
      </c>
      <c r="B8" s="4" t="s">
        <v>1251</v>
      </c>
      <c r="C8" s="4" t="s">
        <v>17</v>
      </c>
      <c r="D8" s="4" t="s">
        <v>553</v>
      </c>
      <c r="E8" s="4" t="s">
        <v>23</v>
      </c>
      <c r="F8">
        <v>30</v>
      </c>
    </row>
    <row r="9" spans="1:8" x14ac:dyDescent="0.25">
      <c r="A9" s="11">
        <v>44570</v>
      </c>
      <c r="B9" s="4" t="s">
        <v>1253</v>
      </c>
      <c r="C9" s="4" t="s">
        <v>20</v>
      </c>
      <c r="D9" s="4" t="s">
        <v>524</v>
      </c>
      <c r="E9" s="4" t="s">
        <v>22</v>
      </c>
      <c r="F9">
        <v>30</v>
      </c>
    </row>
    <row r="10" spans="1:8" x14ac:dyDescent="0.25">
      <c r="A10" s="11">
        <v>44570</v>
      </c>
      <c r="B10" s="4" t="s">
        <v>1254</v>
      </c>
      <c r="C10" s="4" t="s">
        <v>17</v>
      </c>
      <c r="D10" s="4" t="s">
        <v>524</v>
      </c>
      <c r="E10" s="4" t="s">
        <v>23</v>
      </c>
      <c r="F10">
        <v>30</v>
      </c>
    </row>
    <row r="11" spans="1:8" x14ac:dyDescent="0.25">
      <c r="A11" s="11">
        <v>44570</v>
      </c>
      <c r="B11" s="4" t="s">
        <v>1252</v>
      </c>
      <c r="C11" s="4" t="s">
        <v>16</v>
      </c>
      <c r="D11" s="4" t="s">
        <v>553</v>
      </c>
      <c r="E11" s="4" t="s">
        <v>23</v>
      </c>
      <c r="F11">
        <v>30</v>
      </c>
    </row>
    <row r="12" spans="1:8" x14ac:dyDescent="0.25">
      <c r="A12" s="11">
        <v>44570</v>
      </c>
      <c r="B12" s="4" t="s">
        <v>1255</v>
      </c>
      <c r="C12" s="4" t="s">
        <v>16</v>
      </c>
      <c r="D12" s="4" t="s">
        <v>588</v>
      </c>
      <c r="E12" s="4" t="s">
        <v>24</v>
      </c>
      <c r="F12">
        <v>50</v>
      </c>
    </row>
    <row r="13" spans="1:8" x14ac:dyDescent="0.25">
      <c r="A13" s="11">
        <v>44576</v>
      </c>
      <c r="B13" s="4" t="s">
        <v>1250</v>
      </c>
      <c r="D13" s="4" t="s">
        <v>534</v>
      </c>
      <c r="E13" s="4" t="s">
        <v>22</v>
      </c>
      <c r="F13">
        <v>50</v>
      </c>
    </row>
    <row r="14" spans="1:8" x14ac:dyDescent="0.25">
      <c r="A14" s="11">
        <v>44577</v>
      </c>
      <c r="B14" s="4" t="s">
        <v>1249</v>
      </c>
      <c r="C14" s="4" t="s">
        <v>311</v>
      </c>
      <c r="D14" s="4" t="s">
        <v>547</v>
      </c>
      <c r="E14" s="4" t="s">
        <v>23</v>
      </c>
      <c r="F14">
        <v>30</v>
      </c>
    </row>
    <row r="15" spans="1:8" x14ac:dyDescent="0.25">
      <c r="A15" s="11">
        <v>44577</v>
      </c>
      <c r="B15" s="4" t="s">
        <v>1248</v>
      </c>
      <c r="C15" s="4" t="s">
        <v>16</v>
      </c>
      <c r="D15" s="4" t="s">
        <v>565</v>
      </c>
      <c r="E15" s="4" t="s">
        <v>22</v>
      </c>
      <c r="F15">
        <v>50</v>
      </c>
    </row>
    <row r="16" spans="1:8" x14ac:dyDescent="0.25">
      <c r="A16" s="11">
        <v>44577</v>
      </c>
      <c r="C16" s="4" t="s">
        <v>17</v>
      </c>
      <c r="D16" s="4" t="s">
        <v>553</v>
      </c>
      <c r="E16" s="4" t="s">
        <v>23</v>
      </c>
      <c r="F16">
        <v>30</v>
      </c>
    </row>
    <row r="17" spans="1:6" x14ac:dyDescent="0.25">
      <c r="A17" s="11">
        <v>44584</v>
      </c>
      <c r="B17" s="4" t="s">
        <v>1246</v>
      </c>
      <c r="C17" s="4" t="s">
        <v>713</v>
      </c>
      <c r="D17" s="4" t="s">
        <v>579</v>
      </c>
      <c r="E17" s="4" t="s">
        <v>22</v>
      </c>
      <c r="F17">
        <v>40</v>
      </c>
    </row>
    <row r="18" spans="1:6" x14ac:dyDescent="0.25">
      <c r="A18" s="11">
        <v>44584</v>
      </c>
      <c r="B18" s="4" t="s">
        <v>1241</v>
      </c>
      <c r="C18" s="4" t="s">
        <v>20</v>
      </c>
      <c r="D18" s="4" t="s">
        <v>494</v>
      </c>
      <c r="E18" s="4" t="s">
        <v>22</v>
      </c>
      <c r="F18">
        <v>30</v>
      </c>
    </row>
    <row r="19" spans="1:6" x14ac:dyDescent="0.25">
      <c r="A19" s="11">
        <v>44584</v>
      </c>
      <c r="B19" s="4" t="s">
        <v>1242</v>
      </c>
      <c r="C19" s="4" t="s">
        <v>20</v>
      </c>
      <c r="D19" s="4" t="s">
        <v>494</v>
      </c>
      <c r="E19" s="4" t="s">
        <v>22</v>
      </c>
      <c r="F19">
        <v>30</v>
      </c>
    </row>
    <row r="20" spans="1:6" x14ac:dyDescent="0.25">
      <c r="A20" s="11">
        <v>44584</v>
      </c>
      <c r="B20" s="4" t="s">
        <v>1243</v>
      </c>
      <c r="C20" s="4" t="s">
        <v>17</v>
      </c>
      <c r="D20" s="4" t="s">
        <v>534</v>
      </c>
      <c r="E20" s="4" t="s">
        <v>24</v>
      </c>
      <c r="F20">
        <v>50</v>
      </c>
    </row>
    <row r="21" spans="1:6" x14ac:dyDescent="0.25">
      <c r="A21" s="11">
        <v>44584</v>
      </c>
      <c r="B21" s="4" t="s">
        <v>1243</v>
      </c>
      <c r="C21" s="4" t="s">
        <v>713</v>
      </c>
      <c r="D21" s="4" t="s">
        <v>494</v>
      </c>
      <c r="E21" s="4" t="s">
        <v>23</v>
      </c>
      <c r="F21">
        <v>30</v>
      </c>
    </row>
    <row r="22" spans="1:6" x14ac:dyDescent="0.25">
      <c r="A22" s="11">
        <v>44584</v>
      </c>
      <c r="B22" s="4" t="s">
        <v>1243</v>
      </c>
      <c r="C22" s="4" t="s">
        <v>20</v>
      </c>
      <c r="D22" s="4" t="s">
        <v>228</v>
      </c>
      <c r="E22" s="4" t="s">
        <v>22</v>
      </c>
      <c r="F22">
        <v>50</v>
      </c>
    </row>
    <row r="23" spans="1:6" x14ac:dyDescent="0.25">
      <c r="A23" s="11">
        <v>44584</v>
      </c>
      <c r="B23" s="4" t="s">
        <v>1243</v>
      </c>
      <c r="C23" s="4" t="s">
        <v>20</v>
      </c>
      <c r="D23" s="4" t="s">
        <v>228</v>
      </c>
      <c r="E23" s="4" t="s">
        <v>22</v>
      </c>
      <c r="F23">
        <v>50</v>
      </c>
    </row>
    <row r="24" spans="1:6" x14ac:dyDescent="0.25">
      <c r="A24" s="11">
        <v>44584</v>
      </c>
      <c r="B24" s="4" t="s">
        <v>1247</v>
      </c>
      <c r="C24" s="4" t="s">
        <v>17</v>
      </c>
      <c r="E24" s="4" t="s">
        <v>23</v>
      </c>
      <c r="F24">
        <v>50</v>
      </c>
    </row>
    <row r="25" spans="1:6" x14ac:dyDescent="0.25">
      <c r="A25" s="11">
        <v>44584</v>
      </c>
      <c r="B25" s="4" t="s">
        <v>1244</v>
      </c>
      <c r="C25" s="4" t="s">
        <v>311</v>
      </c>
      <c r="D25" s="4" t="s">
        <v>534</v>
      </c>
      <c r="E25" s="4" t="s">
        <v>25</v>
      </c>
      <c r="F25">
        <v>55</v>
      </c>
    </row>
    <row r="26" spans="1:6" x14ac:dyDescent="0.25">
      <c r="A26" s="11">
        <v>44584</v>
      </c>
      <c r="B26" s="4" t="s">
        <v>1245</v>
      </c>
      <c r="C26" s="4" t="s">
        <v>311</v>
      </c>
      <c r="D26" s="4" t="s">
        <v>534</v>
      </c>
      <c r="E26" s="4" t="s">
        <v>25</v>
      </c>
      <c r="F26">
        <v>55</v>
      </c>
    </row>
    <row r="27" spans="1:6" x14ac:dyDescent="0.25">
      <c r="A27" s="11">
        <v>44586</v>
      </c>
      <c r="B27" s="4" t="s">
        <v>1240</v>
      </c>
      <c r="C27" s="4" t="s">
        <v>20</v>
      </c>
      <c r="D27" s="4" t="s">
        <v>494</v>
      </c>
      <c r="E27" s="4" t="s">
        <v>22</v>
      </c>
      <c r="F27">
        <v>50</v>
      </c>
    </row>
    <row r="28" spans="1:6" x14ac:dyDescent="0.25">
      <c r="A28" s="11">
        <v>44594</v>
      </c>
      <c r="B28" s="4" t="s">
        <v>1231</v>
      </c>
      <c r="C28" s="4" t="s">
        <v>17</v>
      </c>
      <c r="D28" s="4" t="s">
        <v>1141</v>
      </c>
      <c r="E28" s="4" t="s">
        <v>25</v>
      </c>
      <c r="F28">
        <v>50</v>
      </c>
    </row>
    <row r="29" spans="1:6" x14ac:dyDescent="0.25">
      <c r="A29" s="11">
        <v>44598</v>
      </c>
      <c r="B29" s="4" t="s">
        <v>1238</v>
      </c>
      <c r="C29" s="4" t="s">
        <v>20</v>
      </c>
      <c r="D29" s="4" t="s">
        <v>542</v>
      </c>
      <c r="E29" s="4" t="s">
        <v>25</v>
      </c>
      <c r="F29">
        <v>50</v>
      </c>
    </row>
    <row r="30" spans="1:6" x14ac:dyDescent="0.25">
      <c r="A30" s="11">
        <v>44598</v>
      </c>
      <c r="B30" s="4" t="s">
        <v>594</v>
      </c>
      <c r="C30" s="4" t="s">
        <v>311</v>
      </c>
      <c r="E30" s="4" t="s">
        <v>23</v>
      </c>
      <c r="F30">
        <v>30</v>
      </c>
    </row>
    <row r="31" spans="1:6" x14ac:dyDescent="0.25">
      <c r="A31" s="11">
        <v>44598</v>
      </c>
      <c r="B31" s="4" t="s">
        <v>1236</v>
      </c>
      <c r="C31" s="4" t="s">
        <v>18</v>
      </c>
      <c r="D31" s="4" t="s">
        <v>534</v>
      </c>
      <c r="E31" s="4" t="s">
        <v>23</v>
      </c>
      <c r="F31">
        <v>30</v>
      </c>
    </row>
    <row r="32" spans="1:6" x14ac:dyDescent="0.25">
      <c r="A32" s="11">
        <v>44598</v>
      </c>
      <c r="B32" s="4" t="s">
        <v>1237</v>
      </c>
      <c r="C32" s="4" t="s">
        <v>713</v>
      </c>
      <c r="D32" s="4" t="s">
        <v>571</v>
      </c>
      <c r="E32" s="4" t="s">
        <v>23</v>
      </c>
      <c r="F32">
        <v>30</v>
      </c>
    </row>
    <row r="33" spans="1:6" x14ac:dyDescent="0.25">
      <c r="A33" s="11">
        <v>44598</v>
      </c>
      <c r="B33" s="4" t="s">
        <v>1239</v>
      </c>
      <c r="C33" s="4" t="s">
        <v>17</v>
      </c>
      <c r="E33" s="4" t="s">
        <v>22</v>
      </c>
      <c r="F33">
        <v>30</v>
      </c>
    </row>
    <row r="34" spans="1:6" x14ac:dyDescent="0.25">
      <c r="A34" s="11">
        <v>44598</v>
      </c>
      <c r="B34" s="4" t="s">
        <v>1234</v>
      </c>
      <c r="C34" s="4" t="s">
        <v>713</v>
      </c>
      <c r="D34" s="4" t="s">
        <v>1235</v>
      </c>
      <c r="E34" s="4" t="s">
        <v>22</v>
      </c>
      <c r="F34">
        <v>30</v>
      </c>
    </row>
    <row r="35" spans="1:6" x14ac:dyDescent="0.25">
      <c r="A35" s="11">
        <v>44598</v>
      </c>
      <c r="B35" s="4" t="s">
        <v>1091</v>
      </c>
      <c r="C35" s="4" t="s">
        <v>311</v>
      </c>
      <c r="D35" s="4" t="s">
        <v>574</v>
      </c>
      <c r="E35" s="4" t="s">
        <v>22</v>
      </c>
      <c r="F35">
        <v>30</v>
      </c>
    </row>
    <row r="36" spans="1:6" x14ac:dyDescent="0.25">
      <c r="A36" s="11">
        <v>44611</v>
      </c>
      <c r="B36" s="4" t="s">
        <v>1230</v>
      </c>
      <c r="C36" s="4" t="s">
        <v>311</v>
      </c>
      <c r="D36" s="4" t="s">
        <v>494</v>
      </c>
      <c r="F36">
        <v>30</v>
      </c>
    </row>
    <row r="37" spans="1:6" x14ac:dyDescent="0.25">
      <c r="A37" s="11">
        <v>44611</v>
      </c>
      <c r="B37" s="4" t="s">
        <v>508</v>
      </c>
      <c r="C37" s="4" t="s">
        <v>16</v>
      </c>
      <c r="D37" s="4" t="s">
        <v>534</v>
      </c>
      <c r="E37" s="4" t="s">
        <v>22</v>
      </c>
      <c r="F37">
        <v>30</v>
      </c>
    </row>
    <row r="38" spans="1:6" x14ac:dyDescent="0.25">
      <c r="A38" s="11">
        <v>44611</v>
      </c>
      <c r="B38" s="4" t="s">
        <v>1232</v>
      </c>
      <c r="C38" s="4" t="s">
        <v>127</v>
      </c>
      <c r="D38" s="4" t="s">
        <v>1233</v>
      </c>
      <c r="E38" s="4" t="s">
        <v>25</v>
      </c>
    </row>
    <row r="39" spans="1:6" x14ac:dyDescent="0.25">
      <c r="A39" s="11">
        <v>44611</v>
      </c>
      <c r="B39" s="4" t="s">
        <v>546</v>
      </c>
      <c r="C39" s="4" t="s">
        <v>174</v>
      </c>
      <c r="D39" s="4" t="s">
        <v>534</v>
      </c>
      <c r="E39" s="4" t="s">
        <v>25</v>
      </c>
      <c r="F39">
        <v>50</v>
      </c>
    </row>
    <row r="40" spans="1:6" x14ac:dyDescent="0.25">
      <c r="A40" s="11">
        <v>44611</v>
      </c>
      <c r="B40" s="4" t="s">
        <v>1229</v>
      </c>
      <c r="C40" s="4" t="s">
        <v>14</v>
      </c>
      <c r="D40" s="4" t="s">
        <v>384</v>
      </c>
      <c r="E40" s="4" t="s">
        <v>24</v>
      </c>
      <c r="F40">
        <v>50</v>
      </c>
    </row>
    <row r="41" spans="1:6" x14ac:dyDescent="0.25">
      <c r="A41" s="11">
        <v>44611</v>
      </c>
      <c r="B41" s="4" t="s">
        <v>1065</v>
      </c>
      <c r="C41" s="4" t="s">
        <v>311</v>
      </c>
      <c r="E41" s="4" t="s">
        <v>23</v>
      </c>
      <c r="F41">
        <v>30</v>
      </c>
    </row>
    <row r="42" spans="1:6" x14ac:dyDescent="0.25">
      <c r="A42" s="11">
        <v>44611</v>
      </c>
      <c r="C42" s="4" t="s">
        <v>127</v>
      </c>
      <c r="D42" s="4" t="s">
        <v>600</v>
      </c>
      <c r="E42" s="4" t="s">
        <v>25</v>
      </c>
      <c r="F42">
        <v>50</v>
      </c>
    </row>
    <row r="43" spans="1:6" x14ac:dyDescent="0.25">
      <c r="A43" s="11">
        <v>44624</v>
      </c>
      <c r="B43" s="4" t="s">
        <v>1227</v>
      </c>
      <c r="C43" s="4" t="s">
        <v>20</v>
      </c>
      <c r="D43" s="4" t="s">
        <v>462</v>
      </c>
      <c r="E43" s="4" t="s">
        <v>25</v>
      </c>
      <c r="F43">
        <v>50</v>
      </c>
    </row>
    <row r="44" spans="1:6" x14ac:dyDescent="0.25">
      <c r="A44" s="11">
        <v>44624</v>
      </c>
      <c r="B44" s="4" t="s">
        <v>1228</v>
      </c>
      <c r="C44" s="4" t="s">
        <v>17</v>
      </c>
      <c r="D44" s="4" t="s">
        <v>539</v>
      </c>
      <c r="E44" s="4" t="s">
        <v>24</v>
      </c>
      <c r="F44">
        <v>50</v>
      </c>
    </row>
    <row r="45" spans="1:6" x14ac:dyDescent="0.25">
      <c r="A45" s="11">
        <v>44624</v>
      </c>
      <c r="B45" s="4" t="s">
        <v>1226</v>
      </c>
      <c r="F45">
        <v>50</v>
      </c>
    </row>
    <row r="46" spans="1:6" x14ac:dyDescent="0.25">
      <c r="A46" s="11">
        <v>44625</v>
      </c>
      <c r="B46" s="4" t="s">
        <v>1225</v>
      </c>
      <c r="C46" s="4" t="s">
        <v>14</v>
      </c>
      <c r="D46" s="4" t="s">
        <v>675</v>
      </c>
      <c r="E46" s="4" t="s">
        <v>24</v>
      </c>
      <c r="F46">
        <v>100</v>
      </c>
    </row>
    <row r="47" spans="1:6" x14ac:dyDescent="0.25">
      <c r="A47" s="11">
        <v>44626</v>
      </c>
      <c r="B47" s="4" t="s">
        <v>1219</v>
      </c>
      <c r="C47" s="4" t="s">
        <v>20</v>
      </c>
      <c r="D47" s="4" t="s">
        <v>494</v>
      </c>
      <c r="E47" s="4" t="s">
        <v>22</v>
      </c>
      <c r="F47">
        <v>30</v>
      </c>
    </row>
    <row r="48" spans="1:6" x14ac:dyDescent="0.25">
      <c r="A48" s="11">
        <v>44626</v>
      </c>
      <c r="B48" s="4" t="s">
        <v>1218</v>
      </c>
      <c r="C48" s="4" t="s">
        <v>17</v>
      </c>
      <c r="D48" s="4" t="s">
        <v>494</v>
      </c>
      <c r="E48" s="4" t="s">
        <v>22</v>
      </c>
      <c r="F48">
        <v>30</v>
      </c>
    </row>
    <row r="49" spans="1:6" x14ac:dyDescent="0.25">
      <c r="A49" s="11">
        <v>44626</v>
      </c>
      <c r="B49" s="4" t="s">
        <v>1224</v>
      </c>
      <c r="C49" s="4" t="s">
        <v>17</v>
      </c>
      <c r="D49" s="4" t="s">
        <v>675</v>
      </c>
      <c r="E49" s="4" t="s">
        <v>25</v>
      </c>
    </row>
    <row r="50" spans="1:6" x14ac:dyDescent="0.25">
      <c r="A50" s="11">
        <v>44626</v>
      </c>
      <c r="B50" s="4" t="s">
        <v>1222</v>
      </c>
      <c r="C50" s="4" t="s">
        <v>20</v>
      </c>
      <c r="D50" s="4" t="s">
        <v>1223</v>
      </c>
      <c r="E50" s="4" t="s">
        <v>24</v>
      </c>
      <c r="F50">
        <v>50</v>
      </c>
    </row>
    <row r="51" spans="1:6" x14ac:dyDescent="0.25">
      <c r="A51" s="11">
        <v>44626</v>
      </c>
      <c r="B51" s="4" t="s">
        <v>1220</v>
      </c>
      <c r="C51" s="4" t="s">
        <v>15</v>
      </c>
      <c r="D51" s="4" t="s">
        <v>1221</v>
      </c>
      <c r="E51" s="4" t="s">
        <v>25</v>
      </c>
      <c r="F51">
        <v>50</v>
      </c>
    </row>
    <row r="52" spans="1:6" x14ac:dyDescent="0.25">
      <c r="A52" s="11">
        <v>44626</v>
      </c>
      <c r="C52" s="4" t="s">
        <v>17</v>
      </c>
      <c r="D52" s="4" t="s">
        <v>922</v>
      </c>
      <c r="E52" s="4" t="s">
        <v>22</v>
      </c>
    </row>
    <row r="53" spans="1:6" x14ac:dyDescent="0.25">
      <c r="A53" s="11">
        <v>44626</v>
      </c>
      <c r="C53" s="4" t="s">
        <v>17</v>
      </c>
      <c r="D53" s="4" t="s">
        <v>922</v>
      </c>
      <c r="E53" s="4" t="s">
        <v>23</v>
      </c>
      <c r="F53">
        <v>50</v>
      </c>
    </row>
    <row r="54" spans="1:6" x14ac:dyDescent="0.25">
      <c r="A54" s="11">
        <v>44626</v>
      </c>
      <c r="C54" s="4" t="s">
        <v>17</v>
      </c>
      <c r="D54" s="4" t="s">
        <v>922</v>
      </c>
      <c r="E54" s="4" t="s">
        <v>23</v>
      </c>
      <c r="F54">
        <v>50</v>
      </c>
    </row>
    <row r="55" spans="1:6" x14ac:dyDescent="0.25">
      <c r="A55" s="11">
        <v>44647</v>
      </c>
      <c r="B55" s="4" t="s">
        <v>559</v>
      </c>
      <c r="C55" s="4" t="s">
        <v>16</v>
      </c>
      <c r="D55" s="4" t="s">
        <v>596</v>
      </c>
      <c r="E55" s="4" t="s">
        <v>25</v>
      </c>
      <c r="F55">
        <v>50</v>
      </c>
    </row>
    <row r="56" spans="1:6" x14ac:dyDescent="0.25">
      <c r="A56" s="11">
        <v>44647</v>
      </c>
      <c r="B56" s="4" t="s">
        <v>1217</v>
      </c>
      <c r="C56" s="4" t="s">
        <v>20</v>
      </c>
      <c r="D56" s="4" t="s">
        <v>675</v>
      </c>
      <c r="E56" s="4" t="s">
        <v>25</v>
      </c>
      <c r="F56">
        <v>70</v>
      </c>
    </row>
    <row r="57" spans="1:6" x14ac:dyDescent="0.25">
      <c r="A57" s="11">
        <v>44647</v>
      </c>
      <c r="B57" s="4" t="s">
        <v>1216</v>
      </c>
      <c r="C57" s="4" t="s">
        <v>16</v>
      </c>
      <c r="D57" s="4" t="s">
        <v>534</v>
      </c>
      <c r="E57" s="4" t="s">
        <v>25</v>
      </c>
      <c r="F57">
        <v>50</v>
      </c>
    </row>
    <row r="58" spans="1:6" x14ac:dyDescent="0.25">
      <c r="A58" s="11">
        <v>44647</v>
      </c>
      <c r="C58" s="4" t="s">
        <v>14</v>
      </c>
      <c r="D58" s="4" t="s">
        <v>1141</v>
      </c>
      <c r="E58" s="4" t="s">
        <v>25</v>
      </c>
      <c r="F58">
        <v>100</v>
      </c>
    </row>
    <row r="59" spans="1:6" x14ac:dyDescent="0.25">
      <c r="A59" s="11">
        <v>44653</v>
      </c>
      <c r="B59" s="4" t="s">
        <v>595</v>
      </c>
      <c r="C59" s="4" t="s">
        <v>15</v>
      </c>
      <c r="E59" s="4" t="s">
        <v>25</v>
      </c>
      <c r="F59">
        <v>50</v>
      </c>
    </row>
    <row r="60" spans="1:6" x14ac:dyDescent="0.25">
      <c r="A60" s="11">
        <v>44653</v>
      </c>
      <c r="B60" s="4" t="s">
        <v>1215</v>
      </c>
      <c r="C60" s="4" t="s">
        <v>16</v>
      </c>
      <c r="D60" s="4" t="s">
        <v>600</v>
      </c>
      <c r="E60" s="4" t="s">
        <v>25</v>
      </c>
      <c r="F60">
        <v>50</v>
      </c>
    </row>
    <row r="61" spans="1:6" x14ac:dyDescent="0.25">
      <c r="A61" s="11">
        <v>44654</v>
      </c>
      <c r="B61" s="4" t="s">
        <v>1214</v>
      </c>
      <c r="C61" s="4" t="s">
        <v>16</v>
      </c>
      <c r="D61" s="4" t="s">
        <v>609</v>
      </c>
      <c r="E61" s="4" t="s">
        <v>25</v>
      </c>
      <c r="F61">
        <v>50</v>
      </c>
    </row>
    <row r="62" spans="1:6" x14ac:dyDescent="0.25">
      <c r="A62" s="11">
        <v>44660</v>
      </c>
      <c r="B62" s="4" t="s">
        <v>606</v>
      </c>
      <c r="C62" s="4" t="s">
        <v>16</v>
      </c>
      <c r="D62" s="4" t="s">
        <v>607</v>
      </c>
      <c r="E62" s="4" t="s">
        <v>25</v>
      </c>
      <c r="F62">
        <v>50</v>
      </c>
    </row>
    <row r="63" spans="1:6" x14ac:dyDescent="0.25">
      <c r="A63" s="11">
        <v>44660</v>
      </c>
      <c r="B63" s="4" t="s">
        <v>1213</v>
      </c>
      <c r="C63" s="4" t="s">
        <v>16</v>
      </c>
      <c r="D63" s="4" t="s">
        <v>607</v>
      </c>
      <c r="E63" s="4" t="s">
        <v>25</v>
      </c>
      <c r="F63">
        <v>70</v>
      </c>
    </row>
    <row r="64" spans="1:6" x14ac:dyDescent="0.25">
      <c r="A64" s="11">
        <v>44664</v>
      </c>
      <c r="B64" s="4" t="s">
        <v>605</v>
      </c>
      <c r="C64" s="4" t="s">
        <v>311</v>
      </c>
      <c r="D64" s="4" t="s">
        <v>1212</v>
      </c>
      <c r="E64" s="4" t="s">
        <v>24</v>
      </c>
      <c r="F64">
        <v>100</v>
      </c>
    </row>
    <row r="65" spans="1:6" x14ac:dyDescent="0.25">
      <c r="A65" s="11">
        <v>44674</v>
      </c>
      <c r="B65" s="4" t="s">
        <v>602</v>
      </c>
      <c r="C65" s="4" t="s">
        <v>17</v>
      </c>
      <c r="D65" s="4" t="s">
        <v>603</v>
      </c>
      <c r="E65" s="4" t="s">
        <v>24</v>
      </c>
      <c r="F65">
        <v>70</v>
      </c>
    </row>
    <row r="66" spans="1:6" x14ac:dyDescent="0.25">
      <c r="A66" s="11">
        <v>44674</v>
      </c>
      <c r="B66" s="4" t="s">
        <v>604</v>
      </c>
      <c r="C66" s="4" t="s">
        <v>19</v>
      </c>
      <c r="D66" s="4" t="s">
        <v>560</v>
      </c>
      <c r="E66" s="4" t="s">
        <v>24</v>
      </c>
      <c r="F66">
        <v>50</v>
      </c>
    </row>
    <row r="67" spans="1:6" x14ac:dyDescent="0.25">
      <c r="A67" s="11">
        <v>44674</v>
      </c>
      <c r="B67" s="4" t="s">
        <v>550</v>
      </c>
      <c r="C67" s="4" t="s">
        <v>16</v>
      </c>
      <c r="D67" s="4" t="s">
        <v>1141</v>
      </c>
      <c r="E67" s="4" t="s">
        <v>25</v>
      </c>
      <c r="F67">
        <v>50</v>
      </c>
    </row>
    <row r="68" spans="1:6" x14ac:dyDescent="0.25">
      <c r="A68" s="11">
        <v>44675</v>
      </c>
      <c r="B68" s="4" t="s">
        <v>601</v>
      </c>
      <c r="C68" s="4" t="s">
        <v>17</v>
      </c>
      <c r="D68" s="4" t="s">
        <v>534</v>
      </c>
      <c r="E68" s="4" t="s">
        <v>25</v>
      </c>
      <c r="F68">
        <v>100</v>
      </c>
    </row>
    <row r="69" spans="1:6" x14ac:dyDescent="0.25">
      <c r="A69" s="11">
        <v>44675</v>
      </c>
      <c r="B69" s="4" t="s">
        <v>1210</v>
      </c>
      <c r="C69" s="4" t="s">
        <v>17</v>
      </c>
      <c r="D69" s="4" t="s">
        <v>534</v>
      </c>
      <c r="E69" s="4" t="s">
        <v>24</v>
      </c>
      <c r="F69">
        <v>50</v>
      </c>
    </row>
    <row r="70" spans="1:6" x14ac:dyDescent="0.25">
      <c r="A70" s="11">
        <v>44675</v>
      </c>
      <c r="B70" s="4" t="s">
        <v>1211</v>
      </c>
      <c r="C70" s="4" t="s">
        <v>17</v>
      </c>
      <c r="D70" s="4" t="s">
        <v>534</v>
      </c>
      <c r="E70" s="4" t="s">
        <v>24</v>
      </c>
      <c r="F70">
        <v>50</v>
      </c>
    </row>
    <row r="71" spans="1:6" x14ac:dyDescent="0.25">
      <c r="A71" s="11">
        <v>44688</v>
      </c>
      <c r="B71" s="4" t="s">
        <v>599</v>
      </c>
      <c r="C71" s="4" t="s">
        <v>16</v>
      </c>
      <c r="D71" s="4" t="s">
        <v>600</v>
      </c>
      <c r="E71" s="4" t="s">
        <v>23</v>
      </c>
      <c r="F71">
        <v>50</v>
      </c>
    </row>
    <row r="72" spans="1:6" x14ac:dyDescent="0.25">
      <c r="A72" s="11">
        <v>44688</v>
      </c>
      <c r="B72" s="4" t="s">
        <v>598</v>
      </c>
      <c r="C72" s="4" t="s">
        <v>14</v>
      </c>
      <c r="E72" s="4" t="s">
        <v>24</v>
      </c>
      <c r="F72">
        <v>50</v>
      </c>
    </row>
    <row r="73" spans="1:6" x14ac:dyDescent="0.25">
      <c r="A73" s="11">
        <v>44688</v>
      </c>
      <c r="B73" s="4" t="s">
        <v>597</v>
      </c>
      <c r="C73" s="4" t="s">
        <v>20</v>
      </c>
      <c r="D73" s="4" t="s">
        <v>539</v>
      </c>
      <c r="E73" s="4" t="s">
        <v>24</v>
      </c>
      <c r="F73">
        <v>60</v>
      </c>
    </row>
    <row r="74" spans="1:6" x14ac:dyDescent="0.25">
      <c r="A74" s="11">
        <v>44695</v>
      </c>
      <c r="B74" s="4" t="s">
        <v>1209</v>
      </c>
      <c r="C74" s="4" t="s">
        <v>127</v>
      </c>
      <c r="D74" s="4" t="s">
        <v>1141</v>
      </c>
      <c r="E74" s="4" t="s">
        <v>25</v>
      </c>
      <c r="F74">
        <v>70</v>
      </c>
    </row>
    <row r="75" spans="1:6" x14ac:dyDescent="0.25">
      <c r="A75" s="11">
        <v>44702</v>
      </c>
      <c r="B75" s="4" t="s">
        <v>595</v>
      </c>
      <c r="C75" s="4" t="s">
        <v>15</v>
      </c>
      <c r="D75" s="4" t="s">
        <v>596</v>
      </c>
      <c r="F75">
        <v>50</v>
      </c>
    </row>
    <row r="76" spans="1:6" x14ac:dyDescent="0.25">
      <c r="A76" s="11">
        <v>44702</v>
      </c>
      <c r="B76" s="4" t="s">
        <v>595</v>
      </c>
      <c r="C76" s="4" t="s">
        <v>15</v>
      </c>
      <c r="D76" s="4" t="s">
        <v>596</v>
      </c>
      <c r="E76" s="4" t="s">
        <v>25</v>
      </c>
      <c r="F76">
        <v>50</v>
      </c>
    </row>
    <row r="77" spans="1:6" x14ac:dyDescent="0.25">
      <c r="A77" s="11">
        <v>44702</v>
      </c>
      <c r="B77" s="4" t="s">
        <v>592</v>
      </c>
      <c r="C77" s="4" t="s">
        <v>19</v>
      </c>
      <c r="D77" s="4" t="s">
        <v>593</v>
      </c>
      <c r="F77">
        <v>50</v>
      </c>
    </row>
    <row r="78" spans="1:6" x14ac:dyDescent="0.25">
      <c r="A78" s="11">
        <v>44702</v>
      </c>
      <c r="B78" s="4" t="s">
        <v>592</v>
      </c>
      <c r="C78" s="4" t="s">
        <v>19</v>
      </c>
      <c r="D78" s="4" t="s">
        <v>596</v>
      </c>
      <c r="E78" s="4" t="s">
        <v>24</v>
      </c>
      <c r="F78">
        <v>50</v>
      </c>
    </row>
    <row r="79" spans="1:6" x14ac:dyDescent="0.25">
      <c r="A79" s="11">
        <v>44702</v>
      </c>
      <c r="B79" s="4" t="s">
        <v>594</v>
      </c>
      <c r="C79" s="4" t="s">
        <v>20</v>
      </c>
      <c r="D79" s="4" t="s">
        <v>462</v>
      </c>
      <c r="F79">
        <v>50</v>
      </c>
    </row>
    <row r="80" spans="1:6" x14ac:dyDescent="0.25">
      <c r="A80" s="11">
        <v>44702</v>
      </c>
      <c r="B80" s="4" t="s">
        <v>594</v>
      </c>
      <c r="C80" s="4" t="s">
        <v>20</v>
      </c>
      <c r="D80" s="4" t="s">
        <v>1141</v>
      </c>
      <c r="E80" s="4" t="s">
        <v>25</v>
      </c>
      <c r="F80">
        <v>50</v>
      </c>
    </row>
    <row r="81" spans="1:6" x14ac:dyDescent="0.25">
      <c r="A81" s="11">
        <v>44707</v>
      </c>
      <c r="B81" s="4" t="s">
        <v>590</v>
      </c>
      <c r="C81" s="4" t="s">
        <v>14</v>
      </c>
      <c r="D81" s="4" t="s">
        <v>591</v>
      </c>
      <c r="E81" s="4" t="s">
        <v>24</v>
      </c>
      <c r="F81">
        <v>50</v>
      </c>
    </row>
    <row r="82" spans="1:6" x14ac:dyDescent="0.25">
      <c r="A82" s="11">
        <v>44728</v>
      </c>
      <c r="B82" s="4" t="s">
        <v>589</v>
      </c>
      <c r="C82" s="4" t="s">
        <v>15</v>
      </c>
      <c r="D82" s="4" t="s">
        <v>539</v>
      </c>
      <c r="E82" s="4" t="s">
        <v>23</v>
      </c>
      <c r="F82">
        <v>50</v>
      </c>
    </row>
    <row r="83" spans="1:6" x14ac:dyDescent="0.25">
      <c r="A83" s="11">
        <v>44736</v>
      </c>
      <c r="B83" s="4" t="s">
        <v>514</v>
      </c>
      <c r="C83" s="4" t="s">
        <v>20</v>
      </c>
      <c r="D83" s="4" t="s">
        <v>189</v>
      </c>
      <c r="E83" s="4" t="s">
        <v>22</v>
      </c>
      <c r="F83">
        <v>40</v>
      </c>
    </row>
    <row r="84" spans="1:6" x14ac:dyDescent="0.25">
      <c r="A84" s="11">
        <v>44766</v>
      </c>
      <c r="C84" s="4" t="s">
        <v>19</v>
      </c>
      <c r="E84" s="4" t="s">
        <v>22</v>
      </c>
      <c r="F84">
        <v>30</v>
      </c>
    </row>
    <row r="85" spans="1:6" x14ac:dyDescent="0.25">
      <c r="A85" s="11">
        <v>44766</v>
      </c>
      <c r="C85" s="4" t="s">
        <v>19</v>
      </c>
      <c r="E85" s="4" t="s">
        <v>22</v>
      </c>
      <c r="F85">
        <v>30</v>
      </c>
    </row>
    <row r="86" spans="1:6" x14ac:dyDescent="0.25">
      <c r="A86" s="11">
        <v>44770</v>
      </c>
      <c r="B86" s="4" t="s">
        <v>587</v>
      </c>
      <c r="D86" s="4" t="s">
        <v>588</v>
      </c>
      <c r="E86" s="4" t="s">
        <v>22</v>
      </c>
    </row>
    <row r="87" spans="1:6" x14ac:dyDescent="0.25">
      <c r="A87" s="11">
        <v>44770</v>
      </c>
      <c r="B87" s="4" t="s">
        <v>586</v>
      </c>
      <c r="C87" s="4" t="s">
        <v>20</v>
      </c>
      <c r="F87">
        <v>60</v>
      </c>
    </row>
    <row r="88" spans="1:6" x14ac:dyDescent="0.25">
      <c r="A88" s="11">
        <v>44779</v>
      </c>
      <c r="B88" s="4" t="s">
        <v>230</v>
      </c>
      <c r="C88" s="4" t="s">
        <v>16</v>
      </c>
      <c r="D88" s="4" t="s">
        <v>579</v>
      </c>
      <c r="E88" s="4" t="s">
        <v>23</v>
      </c>
      <c r="F88">
        <v>80</v>
      </c>
    </row>
    <row r="89" spans="1:6" x14ac:dyDescent="0.25">
      <c r="A89" s="11">
        <v>44779</v>
      </c>
      <c r="B89" s="4" t="s">
        <v>1206</v>
      </c>
      <c r="C89" s="4" t="s">
        <v>713</v>
      </c>
      <c r="D89" s="4" t="s">
        <v>583</v>
      </c>
      <c r="E89" s="4" t="s">
        <v>23</v>
      </c>
      <c r="F89">
        <v>50</v>
      </c>
    </row>
    <row r="90" spans="1:6" x14ac:dyDescent="0.25">
      <c r="A90" s="11">
        <v>44779</v>
      </c>
      <c r="B90" s="4" t="s">
        <v>1206</v>
      </c>
      <c r="C90" s="4" t="s">
        <v>16</v>
      </c>
      <c r="D90" s="4" t="s">
        <v>583</v>
      </c>
      <c r="E90" s="4" t="s">
        <v>22</v>
      </c>
      <c r="F90">
        <v>40</v>
      </c>
    </row>
    <row r="91" spans="1:6" x14ac:dyDescent="0.25">
      <c r="A91" s="11">
        <v>44779</v>
      </c>
      <c r="B91" s="4" t="s">
        <v>1206</v>
      </c>
      <c r="C91" s="4" t="s">
        <v>713</v>
      </c>
      <c r="D91" s="4" t="s">
        <v>583</v>
      </c>
      <c r="E91" s="4" t="s">
        <v>23</v>
      </c>
      <c r="F91">
        <v>30</v>
      </c>
    </row>
    <row r="92" spans="1:6" x14ac:dyDescent="0.25">
      <c r="A92" s="11">
        <v>44779</v>
      </c>
      <c r="B92" s="4" t="s">
        <v>1207</v>
      </c>
      <c r="C92" s="4" t="s">
        <v>19</v>
      </c>
      <c r="E92" s="4" t="s">
        <v>22</v>
      </c>
      <c r="F92">
        <v>30</v>
      </c>
    </row>
    <row r="93" spans="1:6" x14ac:dyDescent="0.25">
      <c r="A93" s="11">
        <v>44779</v>
      </c>
      <c r="B93" s="4" t="s">
        <v>1208</v>
      </c>
      <c r="C93" s="4" t="s">
        <v>713</v>
      </c>
      <c r="D93" s="4" t="s">
        <v>583</v>
      </c>
      <c r="E93" s="4" t="s">
        <v>23</v>
      </c>
      <c r="F93">
        <v>30</v>
      </c>
    </row>
    <row r="94" spans="1:6" x14ac:dyDescent="0.25">
      <c r="A94" s="11">
        <v>44779</v>
      </c>
      <c r="B94" s="4" t="s">
        <v>1205</v>
      </c>
      <c r="C94" s="4" t="s">
        <v>17</v>
      </c>
      <c r="D94" s="4" t="s">
        <v>582</v>
      </c>
      <c r="E94" s="4" t="s">
        <v>23</v>
      </c>
      <c r="F94">
        <v>30</v>
      </c>
    </row>
    <row r="95" spans="1:6" x14ac:dyDescent="0.25">
      <c r="A95" s="11">
        <v>44779</v>
      </c>
      <c r="B95" s="4" t="s">
        <v>1205</v>
      </c>
      <c r="C95" s="4" t="s">
        <v>17</v>
      </c>
      <c r="D95" s="4" t="s">
        <v>582</v>
      </c>
      <c r="E95" s="4" t="s">
        <v>22</v>
      </c>
      <c r="F95">
        <v>30</v>
      </c>
    </row>
    <row r="96" spans="1:6" x14ac:dyDescent="0.25">
      <c r="A96" s="11">
        <v>44779</v>
      </c>
      <c r="B96" s="4" t="s">
        <v>584</v>
      </c>
      <c r="C96" s="4" t="s">
        <v>16</v>
      </c>
      <c r="E96" s="4" t="s">
        <v>23</v>
      </c>
      <c r="F96">
        <v>60</v>
      </c>
    </row>
    <row r="97" spans="1:6" x14ac:dyDescent="0.25">
      <c r="A97" s="11">
        <v>44779</v>
      </c>
      <c r="B97" s="4" t="s">
        <v>584</v>
      </c>
      <c r="C97" s="4" t="s">
        <v>127</v>
      </c>
      <c r="E97" s="4" t="s">
        <v>23</v>
      </c>
      <c r="F97">
        <v>60</v>
      </c>
    </row>
    <row r="98" spans="1:6" x14ac:dyDescent="0.25">
      <c r="A98" s="11">
        <v>44779</v>
      </c>
      <c r="B98" s="4" t="s">
        <v>584</v>
      </c>
      <c r="C98" s="4" t="s">
        <v>127</v>
      </c>
      <c r="E98" s="4" t="s">
        <v>23</v>
      </c>
      <c r="F98">
        <v>60</v>
      </c>
    </row>
    <row r="99" spans="1:6" x14ac:dyDescent="0.25">
      <c r="A99" s="11">
        <v>44779</v>
      </c>
      <c r="B99" s="4" t="s">
        <v>584</v>
      </c>
      <c r="C99" s="4" t="s">
        <v>17</v>
      </c>
      <c r="E99" s="4" t="s">
        <v>22</v>
      </c>
      <c r="F99">
        <v>60</v>
      </c>
    </row>
    <row r="100" spans="1:6" x14ac:dyDescent="0.25">
      <c r="A100" s="11">
        <v>44779</v>
      </c>
      <c r="B100" s="4" t="s">
        <v>585</v>
      </c>
      <c r="C100" s="4" t="s">
        <v>20</v>
      </c>
      <c r="D100" s="4" t="s">
        <v>571</v>
      </c>
      <c r="E100" s="4" t="s">
        <v>23</v>
      </c>
      <c r="F100">
        <v>60</v>
      </c>
    </row>
    <row r="101" spans="1:6" x14ac:dyDescent="0.25">
      <c r="A101" s="11">
        <v>44779</v>
      </c>
      <c r="C101" s="4" t="s">
        <v>17</v>
      </c>
      <c r="D101" s="4" t="s">
        <v>582</v>
      </c>
      <c r="E101" s="4" t="s">
        <v>23</v>
      </c>
      <c r="F101">
        <v>30</v>
      </c>
    </row>
    <row r="102" spans="1:6" x14ac:dyDescent="0.25">
      <c r="A102" s="11">
        <v>44779</v>
      </c>
      <c r="C102" s="4" t="s">
        <v>19</v>
      </c>
      <c r="D102" s="4" t="s">
        <v>583</v>
      </c>
      <c r="E102" s="4" t="s">
        <v>23</v>
      </c>
      <c r="F102">
        <v>50</v>
      </c>
    </row>
    <row r="103" spans="1:6" x14ac:dyDescent="0.25">
      <c r="A103" s="11">
        <v>44779</v>
      </c>
      <c r="C103" s="4" t="s">
        <v>19</v>
      </c>
      <c r="D103" s="4" t="s">
        <v>583</v>
      </c>
      <c r="E103" s="4" t="s">
        <v>22</v>
      </c>
      <c r="F103">
        <v>30</v>
      </c>
    </row>
    <row r="104" spans="1:6" x14ac:dyDescent="0.25">
      <c r="A104" s="11">
        <v>44779</v>
      </c>
      <c r="C104" s="4" t="s">
        <v>16</v>
      </c>
      <c r="D104" s="4" t="s">
        <v>583</v>
      </c>
      <c r="E104" s="4" t="s">
        <v>22</v>
      </c>
      <c r="F104">
        <v>40</v>
      </c>
    </row>
    <row r="105" spans="1:6" x14ac:dyDescent="0.25">
      <c r="A105" s="11">
        <v>44779</v>
      </c>
      <c r="C105" s="4" t="s">
        <v>17</v>
      </c>
      <c r="D105" s="4" t="s">
        <v>582</v>
      </c>
      <c r="E105" s="4" t="s">
        <v>22</v>
      </c>
      <c r="F105">
        <v>30</v>
      </c>
    </row>
    <row r="106" spans="1:6" x14ac:dyDescent="0.25">
      <c r="A106" s="11">
        <v>44779</v>
      </c>
      <c r="C106" s="4" t="s">
        <v>19</v>
      </c>
      <c r="D106" s="4" t="s">
        <v>583</v>
      </c>
      <c r="E106" s="4" t="s">
        <v>23</v>
      </c>
      <c r="F106">
        <v>30</v>
      </c>
    </row>
    <row r="107" spans="1:6" x14ac:dyDescent="0.25">
      <c r="A107" s="11">
        <v>44779</v>
      </c>
      <c r="C107" s="4" t="s">
        <v>19</v>
      </c>
      <c r="D107" s="4" t="s">
        <v>583</v>
      </c>
      <c r="E107" s="4" t="s">
        <v>23</v>
      </c>
      <c r="F107">
        <v>30</v>
      </c>
    </row>
    <row r="108" spans="1:6" x14ac:dyDescent="0.25">
      <c r="A108" s="11">
        <v>44786</v>
      </c>
      <c r="B108" s="4" t="s">
        <v>581</v>
      </c>
      <c r="C108" s="4" t="s">
        <v>17</v>
      </c>
      <c r="D108" s="4" t="s">
        <v>571</v>
      </c>
      <c r="E108" s="4" t="s">
        <v>22</v>
      </c>
      <c r="F108">
        <v>60</v>
      </c>
    </row>
    <row r="109" spans="1:6" x14ac:dyDescent="0.25">
      <c r="A109" s="11">
        <v>44786</v>
      </c>
      <c r="B109" s="4" t="s">
        <v>580</v>
      </c>
      <c r="C109" s="4" t="s">
        <v>17</v>
      </c>
      <c r="D109" s="4" t="s">
        <v>571</v>
      </c>
      <c r="E109" s="4" t="s">
        <v>22</v>
      </c>
      <c r="F109">
        <v>60</v>
      </c>
    </row>
    <row r="110" spans="1:6" x14ac:dyDescent="0.25">
      <c r="A110" s="11">
        <v>44792</v>
      </c>
      <c r="B110" s="4" t="s">
        <v>573</v>
      </c>
      <c r="C110" s="4" t="s">
        <v>311</v>
      </c>
      <c r="D110" s="4" t="s">
        <v>574</v>
      </c>
      <c r="E110" s="4" t="s">
        <v>22</v>
      </c>
      <c r="F110">
        <v>60</v>
      </c>
    </row>
    <row r="111" spans="1:6" x14ac:dyDescent="0.25">
      <c r="A111" s="11">
        <v>44793</v>
      </c>
      <c r="B111" s="4" t="s">
        <v>993</v>
      </c>
      <c r="C111" s="4" t="s">
        <v>14</v>
      </c>
      <c r="D111" s="4" t="s">
        <v>515</v>
      </c>
      <c r="E111" s="4" t="s">
        <v>22</v>
      </c>
      <c r="F111">
        <v>60</v>
      </c>
    </row>
    <row r="112" spans="1:6" x14ac:dyDescent="0.25">
      <c r="A112" s="11">
        <v>44793</v>
      </c>
      <c r="B112" s="4" t="s">
        <v>1005</v>
      </c>
      <c r="C112" s="4" t="s">
        <v>16</v>
      </c>
      <c r="D112" s="4" t="s">
        <v>515</v>
      </c>
      <c r="E112" s="4" t="s">
        <v>22</v>
      </c>
      <c r="F112">
        <v>100</v>
      </c>
    </row>
    <row r="113" spans="1:6" x14ac:dyDescent="0.25">
      <c r="A113" s="11">
        <v>44793</v>
      </c>
      <c r="B113" s="4" t="s">
        <v>1006</v>
      </c>
      <c r="C113" s="4" t="s">
        <v>20</v>
      </c>
      <c r="D113" s="4" t="s">
        <v>515</v>
      </c>
      <c r="E113" s="4" t="s">
        <v>22</v>
      </c>
      <c r="F113">
        <v>60</v>
      </c>
    </row>
    <row r="114" spans="1:6" x14ac:dyDescent="0.25">
      <c r="A114" s="11">
        <v>44801</v>
      </c>
      <c r="B114" s="4" t="s">
        <v>1001</v>
      </c>
      <c r="C114" s="4" t="s">
        <v>14</v>
      </c>
      <c r="D114" s="4" t="s">
        <v>531</v>
      </c>
      <c r="E114" s="4" t="s">
        <v>23</v>
      </c>
      <c r="F114">
        <v>70</v>
      </c>
    </row>
    <row r="115" spans="1:6" x14ac:dyDescent="0.25">
      <c r="A115" s="11">
        <v>44801</v>
      </c>
      <c r="B115" s="4" t="s">
        <v>530</v>
      </c>
      <c r="C115" s="4" t="s">
        <v>14</v>
      </c>
      <c r="D115" s="4" t="s">
        <v>531</v>
      </c>
      <c r="E115" s="4" t="s">
        <v>23</v>
      </c>
      <c r="F115">
        <v>70</v>
      </c>
    </row>
    <row r="116" spans="1:6" x14ac:dyDescent="0.25">
      <c r="A116" s="11">
        <v>44802</v>
      </c>
      <c r="B116" s="4" t="s">
        <v>512</v>
      </c>
      <c r="C116" s="4" t="s">
        <v>16</v>
      </c>
      <c r="D116" s="4" t="s">
        <v>513</v>
      </c>
      <c r="E116" s="4" t="s">
        <v>23</v>
      </c>
      <c r="F116">
        <v>60</v>
      </c>
    </row>
    <row r="117" spans="1:6" x14ac:dyDescent="0.25">
      <c r="A117" s="11">
        <v>44802</v>
      </c>
      <c r="B117" s="4" t="s">
        <v>202</v>
      </c>
      <c r="C117" s="4" t="s">
        <v>16</v>
      </c>
      <c r="D117" s="4" t="s">
        <v>513</v>
      </c>
      <c r="E117" s="4" t="s">
        <v>22</v>
      </c>
      <c r="F117">
        <v>60</v>
      </c>
    </row>
    <row r="118" spans="1:6" x14ac:dyDescent="0.25">
      <c r="A118" s="11">
        <v>44807</v>
      </c>
      <c r="B118" s="4" t="s">
        <v>523</v>
      </c>
      <c r="C118" s="4" t="s">
        <v>15</v>
      </c>
      <c r="D118" s="4" t="s">
        <v>524</v>
      </c>
      <c r="E118" s="4" t="s">
        <v>23</v>
      </c>
      <c r="F118">
        <v>65</v>
      </c>
    </row>
    <row r="119" spans="1:6" x14ac:dyDescent="0.25">
      <c r="A119" s="11">
        <v>44807</v>
      </c>
      <c r="B119" s="4" t="s">
        <v>81</v>
      </c>
      <c r="C119" s="4" t="s">
        <v>15</v>
      </c>
      <c r="D119" s="4" t="s">
        <v>553</v>
      </c>
      <c r="E119" s="4" t="s">
        <v>23</v>
      </c>
      <c r="F119">
        <v>65</v>
      </c>
    </row>
    <row r="120" spans="1:6" x14ac:dyDescent="0.25">
      <c r="A120" s="11">
        <v>44810</v>
      </c>
      <c r="B120" s="4" t="s">
        <v>201</v>
      </c>
      <c r="C120" s="4" t="s">
        <v>311</v>
      </c>
      <c r="D120" s="4" t="s">
        <v>529</v>
      </c>
      <c r="E120" s="4" t="s">
        <v>22</v>
      </c>
      <c r="F120">
        <v>60</v>
      </c>
    </row>
    <row r="121" spans="1:6" x14ac:dyDescent="0.25">
      <c r="A121" s="11">
        <v>44810</v>
      </c>
      <c r="B121" s="4" t="s">
        <v>528</v>
      </c>
      <c r="C121" s="4" t="s">
        <v>311</v>
      </c>
      <c r="D121" s="11" t="s">
        <v>529</v>
      </c>
      <c r="E121" s="4" t="s">
        <v>22</v>
      </c>
      <c r="F121">
        <v>60</v>
      </c>
    </row>
    <row r="122" spans="1:6" x14ac:dyDescent="0.25">
      <c r="A122" s="11">
        <v>44816</v>
      </c>
      <c r="B122" s="4" t="s">
        <v>520</v>
      </c>
      <c r="C122" s="4" t="s">
        <v>311</v>
      </c>
      <c r="D122" s="11" t="s">
        <v>522</v>
      </c>
      <c r="E122" s="4" t="s">
        <v>23</v>
      </c>
      <c r="F122">
        <v>75</v>
      </c>
    </row>
    <row r="123" spans="1:6" x14ac:dyDescent="0.25">
      <c r="A123" s="11">
        <v>44816</v>
      </c>
      <c r="B123" s="4" t="s">
        <v>995</v>
      </c>
      <c r="C123" s="4" t="s">
        <v>17</v>
      </c>
      <c r="D123" s="4" t="s">
        <v>521</v>
      </c>
      <c r="E123" s="4" t="s">
        <v>23</v>
      </c>
      <c r="F123">
        <v>75</v>
      </c>
    </row>
    <row r="124" spans="1:6" x14ac:dyDescent="0.25">
      <c r="A124" s="11">
        <v>44816</v>
      </c>
      <c r="B124" s="4" t="s">
        <v>996</v>
      </c>
      <c r="C124" s="4" t="s">
        <v>311</v>
      </c>
      <c r="D124" s="4" t="s">
        <v>521</v>
      </c>
      <c r="E124" s="4" t="s">
        <v>23</v>
      </c>
      <c r="F124">
        <v>75</v>
      </c>
    </row>
    <row r="125" spans="1:6" x14ac:dyDescent="0.25">
      <c r="A125" s="11">
        <v>44816</v>
      </c>
      <c r="B125" s="4" t="s">
        <v>519</v>
      </c>
      <c r="C125" s="4" t="s">
        <v>17</v>
      </c>
      <c r="D125" s="4" t="s">
        <v>521</v>
      </c>
      <c r="E125" s="4" t="s">
        <v>23</v>
      </c>
      <c r="F125">
        <v>75</v>
      </c>
    </row>
    <row r="126" spans="1:6" x14ac:dyDescent="0.25">
      <c r="A126" s="11">
        <v>44823</v>
      </c>
      <c r="B126" s="4" t="s">
        <v>517</v>
      </c>
      <c r="C126" s="4" t="s">
        <v>18</v>
      </c>
      <c r="D126" s="4" t="s">
        <v>991</v>
      </c>
      <c r="E126" s="4" t="s">
        <v>22</v>
      </c>
      <c r="F126">
        <v>160</v>
      </c>
    </row>
    <row r="127" spans="1:6" x14ac:dyDescent="0.25">
      <c r="A127" s="11">
        <v>44825</v>
      </c>
      <c r="B127" s="4" t="s">
        <v>1144</v>
      </c>
      <c r="C127" s="4" t="s">
        <v>127</v>
      </c>
      <c r="D127" s="4" t="s">
        <v>228</v>
      </c>
      <c r="E127" s="4" t="s">
        <v>23</v>
      </c>
      <c r="F127">
        <v>70</v>
      </c>
    </row>
    <row r="128" spans="1:6" x14ac:dyDescent="0.25">
      <c r="A128" s="11">
        <v>44828</v>
      </c>
      <c r="B128" s="4" t="s">
        <v>572</v>
      </c>
      <c r="C128" s="4" t="s">
        <v>16</v>
      </c>
      <c r="D128" s="4" t="s">
        <v>384</v>
      </c>
      <c r="E128" s="4" t="s">
        <v>25</v>
      </c>
      <c r="F128">
        <v>160</v>
      </c>
    </row>
    <row r="129" spans="1:6" x14ac:dyDescent="0.25">
      <c r="A129" s="11">
        <v>44832</v>
      </c>
      <c r="B129" s="4" t="s">
        <v>242</v>
      </c>
      <c r="C129" s="4" t="s">
        <v>174</v>
      </c>
      <c r="D129" s="4" t="s">
        <v>994</v>
      </c>
      <c r="E129" s="4" t="s">
        <v>22</v>
      </c>
      <c r="F129">
        <v>70</v>
      </c>
    </row>
    <row r="130" spans="1:6" x14ac:dyDescent="0.25">
      <c r="A130" s="11">
        <v>44832</v>
      </c>
      <c r="B130" s="4" t="s">
        <v>518</v>
      </c>
      <c r="C130" s="4" t="s">
        <v>174</v>
      </c>
      <c r="D130" s="11">
        <v>44691</v>
      </c>
      <c r="E130" s="4" t="s">
        <v>22</v>
      </c>
      <c r="F130">
        <v>70</v>
      </c>
    </row>
    <row r="131" spans="1:6" x14ac:dyDescent="0.25">
      <c r="A131" s="11">
        <v>44835</v>
      </c>
      <c r="B131" s="4" t="s">
        <v>567</v>
      </c>
      <c r="C131" s="4" t="s">
        <v>311</v>
      </c>
      <c r="D131" s="4" t="s">
        <v>1149</v>
      </c>
      <c r="E131" s="4" t="s">
        <v>25</v>
      </c>
      <c r="F131">
        <v>90</v>
      </c>
    </row>
    <row r="132" spans="1:6" x14ac:dyDescent="0.25">
      <c r="A132" s="11">
        <v>44835</v>
      </c>
      <c r="B132" s="4" t="s">
        <v>569</v>
      </c>
      <c r="C132" s="4" t="s">
        <v>14</v>
      </c>
      <c r="D132" s="4" t="s">
        <v>553</v>
      </c>
      <c r="E132" s="4" t="s">
        <v>22</v>
      </c>
      <c r="F132">
        <v>60</v>
      </c>
    </row>
    <row r="133" spans="1:6" x14ac:dyDescent="0.25">
      <c r="A133" s="11">
        <v>44835</v>
      </c>
      <c r="B133" s="4" t="s">
        <v>570</v>
      </c>
      <c r="C133" s="4" t="s">
        <v>16</v>
      </c>
      <c r="D133" s="4" t="s">
        <v>571</v>
      </c>
      <c r="E133" s="4" t="s">
        <v>23</v>
      </c>
      <c r="F133">
        <v>60</v>
      </c>
    </row>
    <row r="134" spans="1:6" x14ac:dyDescent="0.25">
      <c r="A134" s="11">
        <v>44835</v>
      </c>
      <c r="B134" s="4" t="s">
        <v>570</v>
      </c>
      <c r="D134" s="4" t="s">
        <v>571</v>
      </c>
      <c r="E134" s="4" t="s">
        <v>23</v>
      </c>
      <c r="F134">
        <v>60</v>
      </c>
    </row>
    <row r="135" spans="1:6" x14ac:dyDescent="0.25">
      <c r="A135" s="11">
        <v>44835</v>
      </c>
      <c r="B135" s="4" t="s">
        <v>568</v>
      </c>
      <c r="D135" s="4" t="s">
        <v>534</v>
      </c>
      <c r="E135" s="4" t="s">
        <v>23</v>
      </c>
      <c r="F135">
        <v>60</v>
      </c>
    </row>
    <row r="136" spans="1:6" x14ac:dyDescent="0.25">
      <c r="A136" s="11">
        <v>44842</v>
      </c>
      <c r="B136" s="4" t="s">
        <v>578</v>
      </c>
      <c r="C136" s="4" t="s">
        <v>17</v>
      </c>
      <c r="D136" s="4" t="s">
        <v>579</v>
      </c>
      <c r="E136" s="4" t="s">
        <v>22</v>
      </c>
      <c r="F136">
        <v>60</v>
      </c>
    </row>
    <row r="137" spans="1:6" x14ac:dyDescent="0.25">
      <c r="A137" s="11">
        <v>44842</v>
      </c>
      <c r="B137" s="4" t="s">
        <v>578</v>
      </c>
      <c r="C137" s="4" t="s">
        <v>17</v>
      </c>
      <c r="D137" s="4" t="s">
        <v>579</v>
      </c>
      <c r="E137" s="4" t="s">
        <v>22</v>
      </c>
      <c r="F137">
        <v>60</v>
      </c>
    </row>
    <row r="138" spans="1:6" x14ac:dyDescent="0.25">
      <c r="A138" s="11">
        <v>44842</v>
      </c>
      <c r="B138" s="4" t="s">
        <v>564</v>
      </c>
      <c r="C138" s="4" t="s">
        <v>20</v>
      </c>
      <c r="D138" s="4" t="s">
        <v>1148</v>
      </c>
      <c r="E138" s="4" t="s">
        <v>22</v>
      </c>
      <c r="F138">
        <v>60</v>
      </c>
    </row>
    <row r="139" spans="1:6" x14ac:dyDescent="0.25">
      <c r="A139" s="11">
        <v>44842</v>
      </c>
      <c r="B139" s="4" t="s">
        <v>566</v>
      </c>
      <c r="C139" s="4" t="s">
        <v>16</v>
      </c>
      <c r="D139" s="4" t="s">
        <v>565</v>
      </c>
      <c r="E139" s="4" t="s">
        <v>22</v>
      </c>
      <c r="F139">
        <v>60</v>
      </c>
    </row>
    <row r="140" spans="1:6" x14ac:dyDescent="0.25">
      <c r="A140" s="11">
        <v>44843</v>
      </c>
      <c r="B140" s="4" t="s">
        <v>525</v>
      </c>
      <c r="C140" s="4" t="s">
        <v>20</v>
      </c>
      <c r="D140" s="11">
        <v>44638</v>
      </c>
      <c r="E140" s="4" t="s">
        <v>25</v>
      </c>
      <c r="F140">
        <v>100</v>
      </c>
    </row>
    <row r="141" spans="1:6" x14ac:dyDescent="0.25">
      <c r="A141" s="11">
        <v>44843</v>
      </c>
      <c r="B141" s="4" t="s">
        <v>118</v>
      </c>
      <c r="C141" s="4" t="s">
        <v>20</v>
      </c>
      <c r="D141" s="4" t="s">
        <v>999</v>
      </c>
      <c r="E141" s="4" t="s">
        <v>23</v>
      </c>
      <c r="F141">
        <v>100</v>
      </c>
    </row>
    <row r="142" spans="1:6" x14ac:dyDescent="0.25">
      <c r="A142" s="11">
        <v>44849</v>
      </c>
      <c r="B142" s="4" t="s">
        <v>908</v>
      </c>
      <c r="C142" s="4" t="s">
        <v>16</v>
      </c>
      <c r="D142" s="4" t="s">
        <v>909</v>
      </c>
      <c r="E142" s="4" t="s">
        <v>22</v>
      </c>
      <c r="F142">
        <v>60</v>
      </c>
    </row>
    <row r="143" spans="1:6" x14ac:dyDescent="0.25">
      <c r="A143" s="11">
        <v>44849</v>
      </c>
      <c r="B143" s="4" t="s">
        <v>561</v>
      </c>
      <c r="C143" s="4" t="s">
        <v>17</v>
      </c>
      <c r="D143" s="4" t="s">
        <v>553</v>
      </c>
      <c r="E143" s="4" t="s">
        <v>24</v>
      </c>
      <c r="F143">
        <v>90</v>
      </c>
    </row>
    <row r="144" spans="1:6" x14ac:dyDescent="0.25">
      <c r="A144" s="11">
        <v>44849</v>
      </c>
      <c r="B144" s="4" t="s">
        <v>561</v>
      </c>
      <c r="C144" s="4" t="s">
        <v>17</v>
      </c>
      <c r="D144" s="4" t="s">
        <v>553</v>
      </c>
      <c r="E144" s="4" t="s">
        <v>24</v>
      </c>
      <c r="F144">
        <v>90</v>
      </c>
    </row>
    <row r="145" spans="1:6" x14ac:dyDescent="0.25">
      <c r="A145" s="11">
        <v>44849</v>
      </c>
      <c r="B145" s="4" t="s">
        <v>1145</v>
      </c>
      <c r="C145" s="4" t="s">
        <v>311</v>
      </c>
      <c r="D145" s="4" t="s">
        <v>560</v>
      </c>
      <c r="E145" s="4" t="s">
        <v>25</v>
      </c>
      <c r="F145">
        <v>90</v>
      </c>
    </row>
    <row r="146" spans="1:6" x14ac:dyDescent="0.25">
      <c r="A146" s="11">
        <v>44849</v>
      </c>
      <c r="B146" s="4" t="s">
        <v>577</v>
      </c>
      <c r="C146" s="4" t="s">
        <v>20</v>
      </c>
      <c r="D146" s="4" t="s">
        <v>462</v>
      </c>
      <c r="E146" s="4" t="s">
        <v>24</v>
      </c>
      <c r="F146">
        <v>190</v>
      </c>
    </row>
    <row r="147" spans="1:6" x14ac:dyDescent="0.25">
      <c r="A147" s="11">
        <v>44849</v>
      </c>
      <c r="B147" s="4" t="s">
        <v>910</v>
      </c>
      <c r="C147" s="4" t="s">
        <v>16</v>
      </c>
      <c r="D147" s="4" t="s">
        <v>909</v>
      </c>
      <c r="E147" s="4" t="s">
        <v>22</v>
      </c>
      <c r="F147">
        <v>60</v>
      </c>
    </row>
    <row r="148" spans="1:6" x14ac:dyDescent="0.25">
      <c r="A148" s="11">
        <v>44849</v>
      </c>
      <c r="B148" s="4" t="s">
        <v>576</v>
      </c>
      <c r="C148" s="4" t="s">
        <v>20</v>
      </c>
      <c r="D148" s="4" t="s">
        <v>553</v>
      </c>
      <c r="E148" s="4" t="s">
        <v>25</v>
      </c>
      <c r="F148">
        <v>100</v>
      </c>
    </row>
    <row r="149" spans="1:6" x14ac:dyDescent="0.25">
      <c r="A149" s="11">
        <v>44849</v>
      </c>
      <c r="B149" s="4" t="s">
        <v>1151</v>
      </c>
      <c r="C149" s="4" t="s">
        <v>20</v>
      </c>
      <c r="D149" s="4" t="s">
        <v>462</v>
      </c>
      <c r="E149" s="4" t="s">
        <v>24</v>
      </c>
      <c r="F149">
        <v>100</v>
      </c>
    </row>
    <row r="150" spans="1:6" x14ac:dyDescent="0.25">
      <c r="A150" s="11">
        <v>44849</v>
      </c>
      <c r="B150" s="4" t="s">
        <v>1150</v>
      </c>
      <c r="C150" s="4" t="s">
        <v>17</v>
      </c>
      <c r="D150" s="4" t="s">
        <v>575</v>
      </c>
      <c r="E150" s="4" t="s">
        <v>24</v>
      </c>
      <c r="F150">
        <v>50</v>
      </c>
    </row>
    <row r="151" spans="1:6" x14ac:dyDescent="0.25">
      <c r="A151" s="11">
        <v>44849</v>
      </c>
      <c r="B151" s="4" t="s">
        <v>563</v>
      </c>
      <c r="C151" s="4" t="s">
        <v>16</v>
      </c>
      <c r="D151" s="4" t="s">
        <v>560</v>
      </c>
      <c r="E151" s="4" t="s">
        <v>25</v>
      </c>
      <c r="F151">
        <v>90</v>
      </c>
    </row>
    <row r="152" spans="1:6" x14ac:dyDescent="0.25">
      <c r="A152" s="11">
        <v>44849</v>
      </c>
      <c r="B152" s="4" t="s">
        <v>1146</v>
      </c>
      <c r="C152" s="4" t="s">
        <v>16</v>
      </c>
      <c r="D152" s="4" t="s">
        <v>1147</v>
      </c>
      <c r="E152" s="4" t="s">
        <v>22</v>
      </c>
      <c r="F152">
        <v>70</v>
      </c>
    </row>
    <row r="153" spans="1:6" x14ac:dyDescent="0.25">
      <c r="A153" s="11">
        <v>44849</v>
      </c>
      <c r="B153" s="4" t="s">
        <v>566</v>
      </c>
      <c r="C153" s="4" t="s">
        <v>16</v>
      </c>
      <c r="D153" s="4" t="s">
        <v>547</v>
      </c>
      <c r="E153" s="4" t="s">
        <v>22</v>
      </c>
      <c r="F153">
        <v>100</v>
      </c>
    </row>
    <row r="154" spans="1:6" x14ac:dyDescent="0.25">
      <c r="A154" s="11">
        <v>44849</v>
      </c>
      <c r="B154" s="4" t="s">
        <v>562</v>
      </c>
      <c r="C154" s="4" t="s">
        <v>16</v>
      </c>
      <c r="D154" s="4" t="s">
        <v>539</v>
      </c>
      <c r="E154" s="4" t="s">
        <v>24</v>
      </c>
      <c r="F154">
        <v>90</v>
      </c>
    </row>
    <row r="155" spans="1:6" x14ac:dyDescent="0.25">
      <c r="A155" s="11">
        <v>44849</v>
      </c>
      <c r="B155" s="4" t="s">
        <v>562</v>
      </c>
      <c r="C155" s="4" t="s">
        <v>16</v>
      </c>
      <c r="D155" s="4" t="s">
        <v>539</v>
      </c>
      <c r="E155" s="4" t="s">
        <v>24</v>
      </c>
      <c r="F155">
        <v>90</v>
      </c>
    </row>
    <row r="156" spans="1:6" x14ac:dyDescent="0.25">
      <c r="A156" s="11">
        <v>44850</v>
      </c>
      <c r="B156" s="4" t="s">
        <v>126</v>
      </c>
      <c r="C156" s="4" t="s">
        <v>17</v>
      </c>
      <c r="D156" s="4" t="s">
        <v>1000</v>
      </c>
      <c r="E156" s="4" t="s">
        <v>23</v>
      </c>
      <c r="F156">
        <v>60</v>
      </c>
    </row>
    <row r="157" spans="1:6" x14ac:dyDescent="0.25">
      <c r="A157" s="11">
        <v>44850</v>
      </c>
      <c r="B157" s="4" t="s">
        <v>526</v>
      </c>
      <c r="C157" s="4" t="s">
        <v>17</v>
      </c>
      <c r="D157" s="4" t="s">
        <v>527</v>
      </c>
      <c r="E157" s="4" t="s">
        <v>23</v>
      </c>
      <c r="F157">
        <v>60</v>
      </c>
    </row>
    <row r="158" spans="1:6" x14ac:dyDescent="0.25">
      <c r="A158" s="11">
        <v>44856</v>
      </c>
      <c r="B158" s="4" t="s">
        <v>555</v>
      </c>
      <c r="C158" s="4" t="s">
        <v>20</v>
      </c>
      <c r="D158" s="4" t="s">
        <v>462</v>
      </c>
      <c r="E158" s="4" t="s">
        <v>24</v>
      </c>
      <c r="F158">
        <v>90</v>
      </c>
    </row>
    <row r="159" spans="1:6" x14ac:dyDescent="0.25">
      <c r="A159" s="11">
        <v>44856</v>
      </c>
      <c r="B159" s="4" t="s">
        <v>532</v>
      </c>
      <c r="C159" s="4" t="s">
        <v>20</v>
      </c>
      <c r="D159" s="11">
        <v>44673</v>
      </c>
      <c r="E159" s="4" t="s">
        <v>24</v>
      </c>
      <c r="F159">
        <v>90</v>
      </c>
    </row>
    <row r="160" spans="1:6" x14ac:dyDescent="0.25">
      <c r="A160" s="11">
        <v>44856</v>
      </c>
      <c r="B160" s="4" t="s">
        <v>217</v>
      </c>
      <c r="C160" s="4" t="s">
        <v>20</v>
      </c>
      <c r="D160" s="4" t="s">
        <v>222</v>
      </c>
      <c r="E160" s="4" t="s">
        <v>24</v>
      </c>
      <c r="F160">
        <v>90</v>
      </c>
    </row>
    <row r="161" spans="1:6" x14ac:dyDescent="0.25">
      <c r="A161" s="11">
        <v>44856</v>
      </c>
      <c r="B161" s="4" t="s">
        <v>556</v>
      </c>
      <c r="C161" s="4" t="s">
        <v>14</v>
      </c>
      <c r="D161" s="4" t="s">
        <v>557</v>
      </c>
      <c r="E161" s="4" t="s">
        <v>24</v>
      </c>
      <c r="F161">
        <v>90</v>
      </c>
    </row>
    <row r="162" spans="1:6" x14ac:dyDescent="0.25">
      <c r="A162" s="11">
        <v>44856</v>
      </c>
      <c r="B162" s="4" t="s">
        <v>558</v>
      </c>
      <c r="C162" s="4" t="s">
        <v>16</v>
      </c>
      <c r="D162" s="4" t="s">
        <v>547</v>
      </c>
      <c r="E162" s="4" t="s">
        <v>22</v>
      </c>
      <c r="F162">
        <v>60</v>
      </c>
    </row>
    <row r="163" spans="1:6" x14ac:dyDescent="0.25">
      <c r="A163" s="11">
        <v>44856</v>
      </c>
      <c r="B163" s="4" t="s">
        <v>548</v>
      </c>
      <c r="C163" s="4" t="s">
        <v>16</v>
      </c>
      <c r="D163" s="4" t="s">
        <v>547</v>
      </c>
      <c r="E163" s="4" t="s">
        <v>23</v>
      </c>
      <c r="F163">
        <v>60</v>
      </c>
    </row>
    <row r="164" spans="1:6" x14ac:dyDescent="0.25">
      <c r="A164" s="11">
        <v>44856</v>
      </c>
      <c r="B164" s="4" t="s">
        <v>361</v>
      </c>
      <c r="C164" s="4" t="s">
        <v>311</v>
      </c>
      <c r="D164" s="4" t="s">
        <v>1143</v>
      </c>
      <c r="E164" s="4" t="s">
        <v>24</v>
      </c>
      <c r="F164">
        <v>100</v>
      </c>
    </row>
    <row r="165" spans="1:6" x14ac:dyDescent="0.25">
      <c r="A165" s="11">
        <v>44860</v>
      </c>
      <c r="B165" s="4" t="s">
        <v>546</v>
      </c>
      <c r="C165" s="4" t="s">
        <v>17</v>
      </c>
      <c r="D165" s="4" t="s">
        <v>547</v>
      </c>
      <c r="E165" s="4" t="s">
        <v>23</v>
      </c>
      <c r="F165">
        <v>100</v>
      </c>
    </row>
    <row r="166" spans="1:6" x14ac:dyDescent="0.25">
      <c r="A166" s="11">
        <v>44862</v>
      </c>
      <c r="B166" s="4" t="s">
        <v>550</v>
      </c>
      <c r="C166" s="4" t="s">
        <v>17</v>
      </c>
      <c r="D166" s="4" t="s">
        <v>494</v>
      </c>
      <c r="E166" s="4" t="s">
        <v>23</v>
      </c>
      <c r="F166">
        <v>110</v>
      </c>
    </row>
    <row r="167" spans="1:6" x14ac:dyDescent="0.25">
      <c r="A167" s="11">
        <v>44863</v>
      </c>
      <c r="B167" s="4" t="s">
        <v>546</v>
      </c>
      <c r="C167" s="4" t="s">
        <v>16</v>
      </c>
      <c r="D167" s="4" t="s">
        <v>1142</v>
      </c>
      <c r="E167" s="4" t="s">
        <v>24</v>
      </c>
      <c r="F167">
        <v>100</v>
      </c>
    </row>
    <row r="168" spans="1:6" x14ac:dyDescent="0.25">
      <c r="A168" s="11">
        <v>44863</v>
      </c>
      <c r="B168" s="4" t="s">
        <v>551</v>
      </c>
      <c r="C168" s="4" t="s">
        <v>311</v>
      </c>
      <c r="D168" s="4" t="s">
        <v>494</v>
      </c>
      <c r="E168" s="4" t="s">
        <v>23</v>
      </c>
      <c r="F168">
        <v>60</v>
      </c>
    </row>
    <row r="169" spans="1:6" x14ac:dyDescent="0.25">
      <c r="A169" s="11">
        <v>44867</v>
      </c>
      <c r="B169" s="4" t="s">
        <v>510</v>
      </c>
      <c r="C169" s="4" t="s">
        <v>20</v>
      </c>
      <c r="D169" s="11">
        <v>44673</v>
      </c>
      <c r="E169" s="4" t="s">
        <v>25</v>
      </c>
      <c r="F169">
        <v>90</v>
      </c>
    </row>
    <row r="170" spans="1:6" x14ac:dyDescent="0.25">
      <c r="A170" s="11">
        <v>44867</v>
      </c>
      <c r="B170" s="4" t="s">
        <v>988</v>
      </c>
      <c r="C170" s="4" t="s">
        <v>20</v>
      </c>
      <c r="D170" s="4" t="s">
        <v>222</v>
      </c>
      <c r="E170" s="4" t="s">
        <v>25</v>
      </c>
      <c r="F170">
        <v>90</v>
      </c>
    </row>
    <row r="171" spans="1:6" x14ac:dyDescent="0.25">
      <c r="A171" s="11">
        <v>44867</v>
      </c>
      <c r="B171" s="4" t="s">
        <v>511</v>
      </c>
      <c r="C171" s="4" t="s">
        <v>20</v>
      </c>
      <c r="D171" s="11">
        <v>44680</v>
      </c>
      <c r="E171" s="4" t="s">
        <v>24</v>
      </c>
      <c r="F171">
        <v>90</v>
      </c>
    </row>
    <row r="172" spans="1:6" x14ac:dyDescent="0.25">
      <c r="A172" s="11">
        <v>44867</v>
      </c>
      <c r="B172" s="4" t="s">
        <v>224</v>
      </c>
      <c r="C172" s="4" t="s">
        <v>20</v>
      </c>
      <c r="D172" s="4" t="s">
        <v>222</v>
      </c>
      <c r="E172" s="4" t="s">
        <v>24</v>
      </c>
      <c r="F172">
        <v>90</v>
      </c>
    </row>
    <row r="173" spans="1:6" x14ac:dyDescent="0.25">
      <c r="A173" s="11">
        <v>44869</v>
      </c>
      <c r="B173" s="4" t="s">
        <v>549</v>
      </c>
      <c r="C173" s="4" t="s">
        <v>20</v>
      </c>
      <c r="D173" s="4" t="s">
        <v>1141</v>
      </c>
      <c r="E173" s="4" t="s">
        <v>23</v>
      </c>
      <c r="F173">
        <v>90</v>
      </c>
    </row>
    <row r="174" spans="1:6" x14ac:dyDescent="0.25">
      <c r="A174" s="11">
        <v>44870</v>
      </c>
      <c r="B174" s="4" t="s">
        <v>554</v>
      </c>
      <c r="C174" s="4" t="s">
        <v>174</v>
      </c>
      <c r="D174" s="4" t="s">
        <v>534</v>
      </c>
      <c r="E174" s="4" t="s">
        <v>24</v>
      </c>
      <c r="F174">
        <v>90</v>
      </c>
    </row>
    <row r="175" spans="1:6" x14ac:dyDescent="0.25">
      <c r="A175" s="11">
        <v>44870</v>
      </c>
      <c r="B175" s="4" t="s">
        <v>552</v>
      </c>
      <c r="C175" s="4" t="s">
        <v>17</v>
      </c>
      <c r="D175" s="4" t="s">
        <v>553</v>
      </c>
      <c r="E175" s="4" t="s">
        <v>25</v>
      </c>
      <c r="F175">
        <v>90</v>
      </c>
    </row>
    <row r="176" spans="1:6" x14ac:dyDescent="0.25">
      <c r="A176" s="11">
        <v>44877</v>
      </c>
      <c r="B176" s="4" t="s">
        <v>1090</v>
      </c>
      <c r="C176" s="4" t="s">
        <v>16</v>
      </c>
      <c r="D176" s="4" t="s">
        <v>1088</v>
      </c>
      <c r="E176" s="4" t="s">
        <v>23</v>
      </c>
      <c r="F176">
        <v>60</v>
      </c>
    </row>
    <row r="177" spans="1:6" x14ac:dyDescent="0.25">
      <c r="A177" s="11">
        <v>44877</v>
      </c>
      <c r="B177" s="4" t="s">
        <v>541</v>
      </c>
      <c r="C177" s="4" t="s">
        <v>311</v>
      </c>
      <c r="D177" s="4" t="s">
        <v>542</v>
      </c>
      <c r="E177" s="4" t="s">
        <v>24</v>
      </c>
      <c r="F177">
        <v>95</v>
      </c>
    </row>
    <row r="178" spans="1:6" x14ac:dyDescent="0.25">
      <c r="A178" s="11">
        <v>44877</v>
      </c>
      <c r="B178" s="4" t="s">
        <v>545</v>
      </c>
      <c r="C178" s="4" t="s">
        <v>16</v>
      </c>
      <c r="D178" s="40">
        <v>44470</v>
      </c>
      <c r="E178" s="4" t="s">
        <v>25</v>
      </c>
      <c r="F178">
        <v>75</v>
      </c>
    </row>
    <row r="179" spans="1:6" x14ac:dyDescent="0.25">
      <c r="A179" s="11">
        <v>44877</v>
      </c>
      <c r="B179" s="4" t="s">
        <v>1089</v>
      </c>
      <c r="C179" s="4" t="s">
        <v>17</v>
      </c>
      <c r="D179" s="4" t="s">
        <v>1088</v>
      </c>
      <c r="E179" s="4" t="s">
        <v>22</v>
      </c>
      <c r="F179">
        <v>60</v>
      </c>
    </row>
    <row r="180" spans="1:6" x14ac:dyDescent="0.25">
      <c r="A180" s="11">
        <v>44877</v>
      </c>
      <c r="B180" s="4" t="s">
        <v>543</v>
      </c>
      <c r="C180" s="4" t="s">
        <v>17</v>
      </c>
      <c r="D180" s="4" t="s">
        <v>534</v>
      </c>
      <c r="E180" s="4" t="s">
        <v>24</v>
      </c>
      <c r="F180">
        <v>95</v>
      </c>
    </row>
    <row r="181" spans="1:6" x14ac:dyDescent="0.25">
      <c r="A181" s="11">
        <v>44877</v>
      </c>
      <c r="B181" s="4" t="s">
        <v>544</v>
      </c>
      <c r="C181" s="4" t="s">
        <v>16</v>
      </c>
      <c r="D181" s="4" t="s">
        <v>1061</v>
      </c>
      <c r="E181" s="4" t="s">
        <v>24</v>
      </c>
      <c r="F181">
        <v>75</v>
      </c>
    </row>
    <row r="182" spans="1:6" x14ac:dyDescent="0.25">
      <c r="A182" s="11">
        <v>44884</v>
      </c>
      <c r="B182" s="4" t="s">
        <v>545</v>
      </c>
      <c r="C182" s="4" t="s">
        <v>16</v>
      </c>
      <c r="E182" s="4" t="s">
        <v>25</v>
      </c>
      <c r="F182">
        <v>75</v>
      </c>
    </row>
    <row r="183" spans="1:6" x14ac:dyDescent="0.25">
      <c r="A183" s="11">
        <v>44884</v>
      </c>
      <c r="B183" s="4" t="s">
        <v>538</v>
      </c>
      <c r="C183" s="4" t="s">
        <v>16</v>
      </c>
      <c r="D183" s="4" t="s">
        <v>539</v>
      </c>
      <c r="E183" s="4" t="s">
        <v>24</v>
      </c>
      <c r="F183">
        <v>100</v>
      </c>
    </row>
    <row r="184" spans="1:6" x14ac:dyDescent="0.25">
      <c r="A184" s="11">
        <v>44884</v>
      </c>
      <c r="B184" s="4" t="s">
        <v>540</v>
      </c>
      <c r="C184" s="4" t="s">
        <v>16</v>
      </c>
      <c r="E184" s="4" t="s">
        <v>23</v>
      </c>
      <c r="F184">
        <v>65</v>
      </c>
    </row>
    <row r="185" spans="1:6" x14ac:dyDescent="0.25">
      <c r="A185" s="11">
        <v>44884</v>
      </c>
      <c r="B185" s="4" t="s">
        <v>544</v>
      </c>
      <c r="C185" s="4" t="s">
        <v>16</v>
      </c>
      <c r="E185" s="4" t="s">
        <v>24</v>
      </c>
      <c r="F185">
        <v>75</v>
      </c>
    </row>
    <row r="186" spans="1:6" x14ac:dyDescent="0.25">
      <c r="A186" s="11">
        <v>44886</v>
      </c>
      <c r="B186" s="4" t="s">
        <v>489</v>
      </c>
      <c r="C186" s="4" t="s">
        <v>17</v>
      </c>
      <c r="D186" s="4" t="s">
        <v>534</v>
      </c>
      <c r="E186" s="4" t="s">
        <v>24</v>
      </c>
      <c r="F186">
        <v>95</v>
      </c>
    </row>
    <row r="187" spans="1:6" x14ac:dyDescent="0.25">
      <c r="A187" s="11">
        <v>44886</v>
      </c>
      <c r="B187" s="4" t="s">
        <v>533</v>
      </c>
      <c r="C187" s="4" t="s">
        <v>17</v>
      </c>
      <c r="D187" s="4" t="s">
        <v>534</v>
      </c>
      <c r="E187" s="4" t="s">
        <v>24</v>
      </c>
      <c r="F187">
        <v>95</v>
      </c>
    </row>
    <row r="188" spans="1:6" x14ac:dyDescent="0.25">
      <c r="A188" s="11">
        <v>44887</v>
      </c>
      <c r="B188" s="4" t="s">
        <v>535</v>
      </c>
      <c r="C188" s="4" t="s">
        <v>16</v>
      </c>
      <c r="D188" s="4" t="s">
        <v>384</v>
      </c>
      <c r="E188" s="4" t="s">
        <v>25</v>
      </c>
      <c r="F188">
        <v>90</v>
      </c>
    </row>
    <row r="189" spans="1:6" x14ac:dyDescent="0.25">
      <c r="A189" s="11">
        <v>44890</v>
      </c>
      <c r="B189" s="4" t="s">
        <v>508</v>
      </c>
      <c r="C189" s="4" t="s">
        <v>20</v>
      </c>
      <c r="D189" s="4" t="s">
        <v>509</v>
      </c>
      <c r="E189" s="4" t="s">
        <v>24</v>
      </c>
      <c r="F189">
        <v>100</v>
      </c>
    </row>
    <row r="190" spans="1:6" x14ac:dyDescent="0.25">
      <c r="A190" s="11">
        <v>44891</v>
      </c>
      <c r="B190" s="4" t="s">
        <v>537</v>
      </c>
      <c r="C190" s="4" t="s">
        <v>20</v>
      </c>
      <c r="D190" s="11">
        <v>44680</v>
      </c>
      <c r="E190" s="4" t="s">
        <v>25</v>
      </c>
      <c r="F190">
        <v>70</v>
      </c>
    </row>
    <row r="191" spans="1:6" x14ac:dyDescent="0.25">
      <c r="A191" s="11">
        <v>44891</v>
      </c>
      <c r="B191" s="4" t="s">
        <v>535</v>
      </c>
      <c r="C191" s="4" t="s">
        <v>16</v>
      </c>
      <c r="E191" s="4" t="s">
        <v>24</v>
      </c>
      <c r="F191">
        <v>90</v>
      </c>
    </row>
    <row r="192" spans="1:6" x14ac:dyDescent="0.25">
      <c r="A192" s="11">
        <v>44891</v>
      </c>
      <c r="B192" s="4" t="s">
        <v>536</v>
      </c>
      <c r="C192" s="4" t="s">
        <v>20</v>
      </c>
      <c r="D192" s="4" t="s">
        <v>494</v>
      </c>
      <c r="E192" s="4" t="s">
        <v>23</v>
      </c>
      <c r="F192">
        <v>65</v>
      </c>
    </row>
    <row r="193" spans="1:6" x14ac:dyDescent="0.25">
      <c r="A193" s="11">
        <v>44898</v>
      </c>
      <c r="B193" s="4" t="s">
        <v>371</v>
      </c>
      <c r="C193" s="4" t="s">
        <v>17</v>
      </c>
      <c r="D193" s="4" t="s">
        <v>560</v>
      </c>
      <c r="E193" s="4" t="s">
        <v>25</v>
      </c>
      <c r="F193">
        <v>95</v>
      </c>
    </row>
    <row r="194" spans="1:6" x14ac:dyDescent="0.25">
      <c r="A194" s="11">
        <v>44898</v>
      </c>
      <c r="B194" s="4" t="s">
        <v>1091</v>
      </c>
      <c r="C194" s="4" t="s">
        <v>16</v>
      </c>
      <c r="D194" s="4" t="s">
        <v>571</v>
      </c>
      <c r="E194" s="4" t="s">
        <v>23</v>
      </c>
      <c r="F194">
        <v>65</v>
      </c>
    </row>
    <row r="195" spans="1:6" x14ac:dyDescent="0.25">
      <c r="A195" s="11">
        <v>44902</v>
      </c>
      <c r="B195" s="4" t="s">
        <v>1052</v>
      </c>
      <c r="C195" s="4" t="s">
        <v>14</v>
      </c>
      <c r="D195" s="4" t="s">
        <v>612</v>
      </c>
      <c r="E195" s="4" t="s">
        <v>22</v>
      </c>
      <c r="F195">
        <v>65.5</v>
      </c>
    </row>
    <row r="196" spans="1:6" x14ac:dyDescent="0.25">
      <c r="A196" s="11">
        <v>44902</v>
      </c>
      <c r="B196" s="4" t="s">
        <v>1053</v>
      </c>
      <c r="C196" s="4" t="s">
        <v>16</v>
      </c>
      <c r="D196" s="4" t="s">
        <v>612</v>
      </c>
      <c r="E196" s="4" t="s">
        <v>22</v>
      </c>
      <c r="F196">
        <v>65.5</v>
      </c>
    </row>
    <row r="197" spans="1:6" x14ac:dyDescent="0.25">
      <c r="A197" s="11">
        <v>44902</v>
      </c>
      <c r="B197" s="4" t="s">
        <v>1004</v>
      </c>
      <c r="C197" s="4" t="s">
        <v>16</v>
      </c>
      <c r="D197" s="4" t="s">
        <v>612</v>
      </c>
      <c r="E197" s="4" t="s">
        <v>22</v>
      </c>
      <c r="F197">
        <v>80</v>
      </c>
    </row>
    <row r="198" spans="1:6" x14ac:dyDescent="0.25">
      <c r="A198" s="11">
        <v>44904</v>
      </c>
      <c r="B198" s="4" t="s">
        <v>1050</v>
      </c>
      <c r="C198" s="4" t="s">
        <v>20</v>
      </c>
      <c r="D198" s="4" t="s">
        <v>384</v>
      </c>
      <c r="E198" s="4" t="s">
        <v>25</v>
      </c>
      <c r="F198">
        <v>100</v>
      </c>
    </row>
    <row r="199" spans="1:6" x14ac:dyDescent="0.25">
      <c r="A199" s="11">
        <v>44905</v>
      </c>
      <c r="B199" s="4" t="s">
        <v>1047</v>
      </c>
      <c r="C199" s="4" t="s">
        <v>20</v>
      </c>
      <c r="D199" s="4" t="s">
        <v>1048</v>
      </c>
      <c r="E199" s="4" t="s">
        <v>23</v>
      </c>
      <c r="F199">
        <v>65</v>
      </c>
    </row>
    <row r="200" spans="1:6" x14ac:dyDescent="0.25">
      <c r="A200" s="11">
        <v>44905</v>
      </c>
      <c r="B200" s="4" t="s">
        <v>1046</v>
      </c>
      <c r="C200" s="4" t="s">
        <v>20</v>
      </c>
      <c r="D200" s="4" t="s">
        <v>1048</v>
      </c>
      <c r="E200" s="4" t="s">
        <v>23</v>
      </c>
      <c r="F200">
        <v>65</v>
      </c>
    </row>
    <row r="201" spans="1:6" x14ac:dyDescent="0.25">
      <c r="A201" s="11">
        <v>44905</v>
      </c>
      <c r="B201" s="4" t="s">
        <v>1056</v>
      </c>
      <c r="C201" s="4" t="s">
        <v>20</v>
      </c>
      <c r="D201" s="4" t="s">
        <v>1054</v>
      </c>
      <c r="E201" s="4" t="s">
        <v>25</v>
      </c>
      <c r="F201">
        <v>75</v>
      </c>
    </row>
    <row r="202" spans="1:6" x14ac:dyDescent="0.25">
      <c r="A202" s="11">
        <v>44905</v>
      </c>
      <c r="B202" s="4" t="s">
        <v>1055</v>
      </c>
      <c r="C202" s="4" t="s">
        <v>20</v>
      </c>
      <c r="D202" s="4" t="s">
        <v>1057</v>
      </c>
      <c r="E202" s="4" t="s">
        <v>25</v>
      </c>
      <c r="F202">
        <v>75</v>
      </c>
    </row>
    <row r="203" spans="1:6" x14ac:dyDescent="0.25">
      <c r="A203" s="11">
        <v>44905</v>
      </c>
      <c r="B203" s="4" t="s">
        <v>1049</v>
      </c>
      <c r="C203" s="4" t="s">
        <v>16</v>
      </c>
      <c r="D203" s="4" t="s">
        <v>384</v>
      </c>
      <c r="E203" s="4" t="s">
        <v>25</v>
      </c>
      <c r="F203">
        <v>100</v>
      </c>
    </row>
    <row r="204" spans="1:6" x14ac:dyDescent="0.25">
      <c r="A204" s="11">
        <v>44909</v>
      </c>
      <c r="B204" s="4" t="s">
        <v>911</v>
      </c>
      <c r="C204" s="4" t="s">
        <v>16</v>
      </c>
      <c r="D204" s="4" t="s">
        <v>612</v>
      </c>
      <c r="E204" s="4" t="s">
        <v>22</v>
      </c>
      <c r="F204">
        <v>65</v>
      </c>
    </row>
    <row r="205" spans="1:6" x14ac:dyDescent="0.25">
      <c r="A205" s="11">
        <v>44909</v>
      </c>
      <c r="B205" s="4" t="s">
        <v>912</v>
      </c>
      <c r="C205" s="4" t="s">
        <v>14</v>
      </c>
      <c r="D205" s="4" t="s">
        <v>612</v>
      </c>
      <c r="E205" s="4" t="s">
        <v>22</v>
      </c>
      <c r="F205">
        <v>65</v>
      </c>
    </row>
    <row r="206" spans="1:6" x14ac:dyDescent="0.25">
      <c r="A206" s="11">
        <v>44912</v>
      </c>
      <c r="B206" s="4" t="s">
        <v>611</v>
      </c>
      <c r="C206" s="4" t="s">
        <v>174</v>
      </c>
      <c r="D206" s="4" t="s">
        <v>1060</v>
      </c>
      <c r="E206" s="4" t="s">
        <v>24</v>
      </c>
      <c r="F206">
        <v>100</v>
      </c>
    </row>
    <row r="207" spans="1:6" x14ac:dyDescent="0.25">
      <c r="A207" s="11">
        <v>44913</v>
      </c>
      <c r="B207" s="4" t="s">
        <v>1058</v>
      </c>
      <c r="D207" s="4" t="s">
        <v>591</v>
      </c>
      <c r="E207" s="4" t="s">
        <v>25</v>
      </c>
      <c r="F207">
        <v>100</v>
      </c>
    </row>
    <row r="208" spans="1:6" x14ac:dyDescent="0.25">
      <c r="A208" s="11">
        <v>44918</v>
      </c>
      <c r="B208" s="4" t="s">
        <v>916</v>
      </c>
      <c r="C208" s="4" t="s">
        <v>17</v>
      </c>
      <c r="D208" s="4" t="s">
        <v>919</v>
      </c>
      <c r="E208" s="4" t="s">
        <v>22</v>
      </c>
      <c r="F208">
        <v>70</v>
      </c>
    </row>
    <row r="209" spans="1:6" x14ac:dyDescent="0.25">
      <c r="A209" s="11">
        <v>44923</v>
      </c>
      <c r="B209" s="4" t="s">
        <v>915</v>
      </c>
      <c r="C209" s="4" t="s">
        <v>311</v>
      </c>
      <c r="D209" s="4" t="s">
        <v>466</v>
      </c>
      <c r="E209" s="4" t="s">
        <v>23</v>
      </c>
      <c r="F209">
        <v>65</v>
      </c>
    </row>
    <row r="210" spans="1:6" x14ac:dyDescent="0.25">
      <c r="A210" s="11">
        <v>44923</v>
      </c>
      <c r="B210" s="4" t="s">
        <v>913</v>
      </c>
      <c r="C210" s="4" t="s">
        <v>16</v>
      </c>
      <c r="D210" s="4" t="s">
        <v>914</v>
      </c>
      <c r="E210" s="4" t="s">
        <v>23</v>
      </c>
      <c r="F210">
        <v>65</v>
      </c>
    </row>
    <row r="211" spans="1:6" x14ac:dyDescent="0.25">
      <c r="A211" s="11">
        <v>44926</v>
      </c>
      <c r="B211" s="4" t="s">
        <v>917</v>
      </c>
      <c r="C211" s="4" t="s">
        <v>20</v>
      </c>
      <c r="D211" s="4" t="s">
        <v>918</v>
      </c>
      <c r="E211" s="4" t="s">
        <v>22</v>
      </c>
      <c r="F211">
        <v>70</v>
      </c>
    </row>
  </sheetData>
  <sortState xmlns:xlrd2="http://schemas.microsoft.com/office/spreadsheetml/2017/richdata2" ref="A2:F211">
    <sortCondition ref="A2:A211"/>
    <sortCondition ref="B2:B211"/>
  </sortState>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CBE0C16-EB44-4604-91C0-2C09216A1B68}">
          <x14:formula1>
            <xm:f>LIST!$B$3:$B$17</xm:f>
          </x14:formula1>
          <xm:sqref>C1:C1048576</xm:sqref>
        </x14:dataValidation>
        <x14:dataValidation type="list" allowBlank="1" showInputMessage="1" showErrorMessage="1" xr:uid="{2CBF288C-38B3-4D4F-B91B-936DA4FD4B9A}">
          <x14:formula1>
            <xm:f>LIST!$C$3:$C$6</xm:f>
          </x14:formula1>
          <xm:sqref>E1:E1048576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6947F-BAB7-4932-9A56-B5D1C51DCE54}">
  <dimension ref="A1:W1"/>
  <sheetViews>
    <sheetView zoomScale="85" zoomScaleNormal="85" workbookViewId="0">
      <selection activeCell="D17" sqref="D17"/>
    </sheetView>
  </sheetViews>
  <sheetFormatPr defaultRowHeight="15" x14ac:dyDescent="0.25"/>
  <cols>
    <col min="1" max="1" width="18.5703125" customWidth="1"/>
    <col min="2" max="2" width="15.42578125" customWidth="1"/>
    <col min="3" max="3" width="21" customWidth="1"/>
    <col min="4" max="4" width="23.85546875" customWidth="1"/>
    <col min="5" max="5" width="17.7109375" customWidth="1"/>
    <col min="6" max="6" width="17.28515625" customWidth="1"/>
    <col min="7" max="7" width="22.85546875" customWidth="1"/>
    <col min="8" max="9" width="17.140625" customWidth="1"/>
    <col min="10" max="10" width="17.85546875" customWidth="1"/>
    <col min="11" max="12" width="15" customWidth="1"/>
    <col min="13" max="15" width="18.7109375" customWidth="1"/>
    <col min="16" max="16" width="15.5703125" customWidth="1"/>
    <col min="17" max="19" width="16.7109375" customWidth="1"/>
    <col min="20" max="20" width="14.140625" customWidth="1"/>
    <col min="21" max="21" width="16.7109375" customWidth="1"/>
    <col min="22" max="22" width="24.7109375" customWidth="1"/>
    <col min="23" max="23" width="131.140625" customWidth="1"/>
  </cols>
  <sheetData>
    <row r="1" spans="1:23" s="1" customFormat="1" ht="21" customHeight="1" x14ac:dyDescent="0.25">
      <c r="A1" s="3" t="s">
        <v>0</v>
      </c>
      <c r="B1" s="3" t="s">
        <v>1069</v>
      </c>
      <c r="C1" s="2" t="s">
        <v>1</v>
      </c>
      <c r="D1" s="1" t="s">
        <v>21</v>
      </c>
      <c r="E1" s="2" t="s">
        <v>2</v>
      </c>
      <c r="F1" s="1" t="s">
        <v>136</v>
      </c>
      <c r="G1" s="8" t="s">
        <v>49</v>
      </c>
      <c r="H1" s="29" t="s">
        <v>326</v>
      </c>
      <c r="I1" s="8" t="s">
        <v>327</v>
      </c>
      <c r="J1" s="1" t="s">
        <v>54</v>
      </c>
      <c r="K1" s="2" t="s">
        <v>4</v>
      </c>
      <c r="L1" s="1" t="s">
        <v>72</v>
      </c>
      <c r="M1" s="2" t="s">
        <v>5</v>
      </c>
      <c r="N1" s="1" t="s">
        <v>6</v>
      </c>
      <c r="O1" s="8" t="s">
        <v>83</v>
      </c>
      <c r="P1" s="1" t="s">
        <v>40</v>
      </c>
      <c r="Q1" s="2" t="s">
        <v>7</v>
      </c>
      <c r="R1" s="1" t="s">
        <v>8</v>
      </c>
      <c r="S1" s="2" t="s">
        <v>9</v>
      </c>
      <c r="T1" s="1" t="s">
        <v>10</v>
      </c>
      <c r="U1" s="2" t="s">
        <v>37</v>
      </c>
      <c r="V1" s="37" t="s">
        <v>831</v>
      </c>
      <c r="W1" s="3" t="s">
        <v>11</v>
      </c>
    </row>
  </sheetData>
  <pageMargins left="0.7" right="0.7" top="0.75" bottom="0.75" header="0.3" footer="0.3"/>
  <extLst>
    <ext xmlns:x14="http://schemas.microsoft.com/office/spreadsheetml/2009/9/main" uri="{CCE6A557-97BC-4b89-ADB6-D9C93CAAB3DF}">
      <x14:dataValidations xmlns:xm="http://schemas.microsoft.com/office/excel/2006/main" count="10">
        <x14:dataValidation type="list" allowBlank="1" showInputMessage="1" showErrorMessage="1" xr:uid="{02450C59-4437-44AC-87C1-D9B4C32FDC0F}">
          <x14:formula1>
            <xm:f>LIST!$F$17:$F$18</xm:f>
          </x14:formula1>
          <xm:sqref>B1</xm:sqref>
        </x14:dataValidation>
        <x14:dataValidation type="list" allowBlank="1" showInputMessage="1" showErrorMessage="1" xr:uid="{A3FC49FB-56EA-42B7-83BD-BD0F2FEE2EA1}">
          <x14:formula1>
            <xm:f>LIST!$C$17:$C$20</xm:f>
          </x14:formula1>
          <xm:sqref>L1</xm:sqref>
        </x14:dataValidation>
        <x14:dataValidation type="list" allowBlank="1" showInputMessage="1" showErrorMessage="1" xr:uid="{9C16C01E-4C54-4429-9F76-39C5B3D34E16}">
          <x14:formula1>
            <xm:f>LIST!$B$23:$B$26</xm:f>
          </x14:formula1>
          <xm:sqref>J1</xm:sqref>
        </x14:dataValidation>
        <x14:dataValidation type="list" allowBlank="1" showInputMessage="1" showErrorMessage="1" xr:uid="{2B7E0AF1-8265-4634-8F9E-3610EEA677F0}">
          <x14:formula1>
            <xm:f>LIST!$A$17:$A$21</xm:f>
          </x14:formula1>
          <xm:sqref>P1</xm:sqref>
        </x14:dataValidation>
        <x14:dataValidation type="list" allowBlank="1" showInputMessage="1" showErrorMessage="1" xr:uid="{9D656F70-5336-4AB9-B626-B0B907C783D7}">
          <x14:formula1>
            <xm:f>LIST!$A$32:$A$105</xm:f>
          </x14:formula1>
          <xm:sqref>R1</xm:sqref>
        </x14:dataValidation>
        <x14:dataValidation type="list" allowBlank="1" showInputMessage="1" showErrorMessage="1" xr:uid="{90628C35-4788-4518-B8FD-1D3FEECCE98E}">
          <x14:formula1>
            <xm:f>LIST!$B$3:$B$17</xm:f>
          </x14:formula1>
          <xm:sqref>D1</xm:sqref>
        </x14:dataValidation>
        <x14:dataValidation type="list" allowBlank="1" showInputMessage="1" showErrorMessage="1" xr:uid="{2CF484B0-58AD-441E-B048-599421C7627C}">
          <x14:formula1>
            <xm:f>LIST!$A$3:$A$9</xm:f>
          </x14:formula1>
          <xm:sqref>C1</xm:sqref>
        </x14:dataValidation>
        <x14:dataValidation type="list" allowBlank="1" showInputMessage="1" showErrorMessage="1" xr:uid="{37B1BB17-A4E6-43D8-AC10-A80D95195E9C}">
          <x14:formula1>
            <xm:f>LIST!$D$3:$D$9</xm:f>
          </x14:formula1>
          <xm:sqref>Q1</xm:sqref>
        </x14:dataValidation>
        <x14:dataValidation type="list" allowBlank="1" showInputMessage="1" showErrorMessage="1" xr:uid="{2D8975EB-B67D-4F2D-8499-037C47547C5F}">
          <x14:formula1>
            <xm:f>LIST!$G$3:$G$12</xm:f>
          </x14:formula1>
          <xm:sqref>U1</xm:sqref>
        </x14:dataValidation>
        <x14:dataValidation type="list" allowBlank="1" showInputMessage="1" showErrorMessage="1" xr:uid="{3581B216-3F70-420F-AC1A-DFE304E57157}">
          <x14:formula1>
            <xm:f>LIST!$E$3:$E$10</xm:f>
          </x14:formula1>
          <xm:sqref>S1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A5F-DEFA-4203-A971-B6F72356CD64}">
  <dimension ref="A2:G105"/>
  <sheetViews>
    <sheetView topLeftCell="A24" workbookViewId="0">
      <selection activeCell="A38" sqref="A38:A40"/>
    </sheetView>
  </sheetViews>
  <sheetFormatPr defaultRowHeight="15" x14ac:dyDescent="0.25"/>
  <cols>
    <col min="1" max="1" width="22.85546875" customWidth="1"/>
    <col min="2" max="2" width="26" customWidth="1"/>
    <col min="3" max="3" width="26.28515625" customWidth="1"/>
    <col min="4" max="4" width="19.140625" customWidth="1"/>
    <col min="5" max="5" width="17.42578125" customWidth="1"/>
    <col min="6" max="6" width="24.42578125" customWidth="1"/>
    <col min="7" max="7" width="27.140625" customWidth="1"/>
  </cols>
  <sheetData>
    <row r="2" spans="1:7" x14ac:dyDescent="0.25">
      <c r="A2" s="26" t="s">
        <v>1</v>
      </c>
      <c r="B2" s="26" t="s">
        <v>21</v>
      </c>
      <c r="C2" s="26" t="s">
        <v>2</v>
      </c>
      <c r="D2" s="26" t="s">
        <v>7</v>
      </c>
      <c r="E2" s="26" t="s">
        <v>9</v>
      </c>
      <c r="F2" s="26"/>
      <c r="G2" s="26" t="s">
        <v>37</v>
      </c>
    </row>
    <row r="3" spans="1:7" x14ac:dyDescent="0.25">
      <c r="A3" t="s">
        <v>620</v>
      </c>
      <c r="B3" t="s">
        <v>17</v>
      </c>
      <c r="C3" t="s">
        <v>2227</v>
      </c>
      <c r="D3" t="s">
        <v>121</v>
      </c>
      <c r="E3" t="s">
        <v>29</v>
      </c>
      <c r="G3" t="s">
        <v>425</v>
      </c>
    </row>
    <row r="4" spans="1:7" x14ac:dyDescent="0.25">
      <c r="A4" t="s">
        <v>12</v>
      </c>
      <c r="B4" t="s">
        <v>20</v>
      </c>
      <c r="C4" t="s">
        <v>24</v>
      </c>
      <c r="D4" t="s">
        <v>122</v>
      </c>
      <c r="E4" t="s">
        <v>33</v>
      </c>
      <c r="G4" t="s">
        <v>39</v>
      </c>
    </row>
    <row r="5" spans="1:7" x14ac:dyDescent="0.25">
      <c r="A5" t="s">
        <v>1489</v>
      </c>
      <c r="B5" t="s">
        <v>15</v>
      </c>
      <c r="C5" t="s">
        <v>25</v>
      </c>
      <c r="D5" t="s">
        <v>28</v>
      </c>
      <c r="E5" t="s">
        <v>2558</v>
      </c>
      <c r="G5" t="s">
        <v>38</v>
      </c>
    </row>
    <row r="6" spans="1:7" x14ac:dyDescent="0.25">
      <c r="A6" t="s">
        <v>1980</v>
      </c>
      <c r="B6" t="s">
        <v>14</v>
      </c>
      <c r="C6" t="s">
        <v>2228</v>
      </c>
      <c r="D6" t="s">
        <v>1739</v>
      </c>
      <c r="E6" t="s">
        <v>452</v>
      </c>
      <c r="G6" t="s">
        <v>2318</v>
      </c>
    </row>
    <row r="7" spans="1:7" x14ac:dyDescent="0.25">
      <c r="A7" t="s">
        <v>13</v>
      </c>
      <c r="B7" t="s">
        <v>1195</v>
      </c>
      <c r="D7" t="s">
        <v>26</v>
      </c>
      <c r="E7" t="s">
        <v>31</v>
      </c>
      <c r="G7" t="s">
        <v>148</v>
      </c>
    </row>
    <row r="8" spans="1:7" x14ac:dyDescent="0.25">
      <c r="A8" t="s">
        <v>182</v>
      </c>
      <c r="B8" t="s">
        <v>19</v>
      </c>
      <c r="D8" t="s">
        <v>27</v>
      </c>
      <c r="E8" t="s">
        <v>32</v>
      </c>
      <c r="G8" t="s">
        <v>2342</v>
      </c>
    </row>
    <row r="9" spans="1:7" x14ac:dyDescent="0.25">
      <c r="A9" t="s">
        <v>28</v>
      </c>
      <c r="B9" t="s">
        <v>713</v>
      </c>
      <c r="D9" t="s">
        <v>631</v>
      </c>
      <c r="E9" t="s">
        <v>45</v>
      </c>
      <c r="G9" t="s">
        <v>279</v>
      </c>
    </row>
    <row r="10" spans="1:7" x14ac:dyDescent="0.25">
      <c r="B10" t="s">
        <v>1487</v>
      </c>
      <c r="E10" t="s">
        <v>30</v>
      </c>
      <c r="G10" t="s">
        <v>112</v>
      </c>
    </row>
    <row r="11" spans="1:7" x14ac:dyDescent="0.25">
      <c r="B11" t="s">
        <v>654</v>
      </c>
      <c r="G11" t="s">
        <v>1460</v>
      </c>
    </row>
    <row r="12" spans="1:7" x14ac:dyDescent="0.25">
      <c r="B12" t="s">
        <v>16</v>
      </c>
      <c r="G12" t="s">
        <v>367</v>
      </c>
    </row>
    <row r="13" spans="1:7" x14ac:dyDescent="0.25">
      <c r="B13" t="s">
        <v>311</v>
      </c>
      <c r="G13" s="55" t="s">
        <v>2016</v>
      </c>
    </row>
    <row r="14" spans="1:7" x14ac:dyDescent="0.25">
      <c r="B14" t="s">
        <v>127</v>
      </c>
      <c r="G14" s="55" t="s">
        <v>2017</v>
      </c>
    </row>
    <row r="15" spans="1:7" x14ac:dyDescent="0.25">
      <c r="B15" t="s">
        <v>1981</v>
      </c>
    </row>
    <row r="16" spans="1:7" x14ac:dyDescent="0.25">
      <c r="A16" s="26" t="s">
        <v>40</v>
      </c>
      <c r="B16" t="s">
        <v>174</v>
      </c>
      <c r="C16" s="26" t="s">
        <v>72</v>
      </c>
      <c r="D16" s="26" t="s">
        <v>64</v>
      </c>
      <c r="F16" s="26" t="s">
        <v>1069</v>
      </c>
    </row>
    <row r="17" spans="1:6" x14ac:dyDescent="0.25">
      <c r="A17" t="s">
        <v>43</v>
      </c>
      <c r="B17" t="s">
        <v>18</v>
      </c>
      <c r="C17" t="s">
        <v>73</v>
      </c>
      <c r="D17" t="s">
        <v>71</v>
      </c>
      <c r="F17" t="s">
        <v>1070</v>
      </c>
    </row>
    <row r="18" spans="1:6" x14ac:dyDescent="0.25">
      <c r="A18" t="s">
        <v>42</v>
      </c>
      <c r="C18" t="s">
        <v>74</v>
      </c>
      <c r="D18" t="s">
        <v>77</v>
      </c>
      <c r="F18" t="s">
        <v>1071</v>
      </c>
    </row>
    <row r="19" spans="1:6" x14ac:dyDescent="0.25">
      <c r="A19" t="s">
        <v>431</v>
      </c>
      <c r="C19" t="s">
        <v>75</v>
      </c>
      <c r="D19" t="s">
        <v>78</v>
      </c>
    </row>
    <row r="20" spans="1:6" x14ac:dyDescent="0.25">
      <c r="A20" t="s">
        <v>41</v>
      </c>
      <c r="C20" t="s">
        <v>9</v>
      </c>
      <c r="D20" t="s">
        <v>79</v>
      </c>
    </row>
    <row r="21" spans="1:6" x14ac:dyDescent="0.25">
      <c r="A21" t="s">
        <v>2039</v>
      </c>
      <c r="D21" t="s">
        <v>28</v>
      </c>
      <c r="F21" t="s">
        <v>64</v>
      </c>
    </row>
    <row r="22" spans="1:6" x14ac:dyDescent="0.25">
      <c r="A22" s="26" t="s">
        <v>49</v>
      </c>
      <c r="B22" s="26" t="s">
        <v>55</v>
      </c>
      <c r="F22" t="s">
        <v>71</v>
      </c>
    </row>
    <row r="23" spans="1:6" x14ac:dyDescent="0.25">
      <c r="A23" t="s">
        <v>50</v>
      </c>
      <c r="B23" t="s">
        <v>56</v>
      </c>
      <c r="F23" t="s">
        <v>77</v>
      </c>
    </row>
    <row r="24" spans="1:6" x14ac:dyDescent="0.25">
      <c r="A24" t="s">
        <v>51</v>
      </c>
      <c r="B24" t="s">
        <v>102</v>
      </c>
      <c r="F24" t="s">
        <v>2609</v>
      </c>
    </row>
    <row r="25" spans="1:6" x14ac:dyDescent="0.25">
      <c r="A25" t="s">
        <v>53</v>
      </c>
      <c r="B25" t="s">
        <v>101</v>
      </c>
      <c r="F25" t="s">
        <v>78</v>
      </c>
    </row>
    <row r="26" spans="1:6" x14ac:dyDescent="0.25">
      <c r="A26" t="s">
        <v>52</v>
      </c>
      <c r="B26" t="s">
        <v>503</v>
      </c>
    </row>
    <row r="28" spans="1:6" x14ac:dyDescent="0.25">
      <c r="A28" s="26" t="s">
        <v>111</v>
      </c>
    </row>
    <row r="30" spans="1:6" x14ac:dyDescent="0.25">
      <c r="A30" t="s">
        <v>2624</v>
      </c>
    </row>
    <row r="31" spans="1:6" x14ac:dyDescent="0.25">
      <c r="A31" t="s">
        <v>1159</v>
      </c>
    </row>
    <row r="32" spans="1:6" x14ac:dyDescent="0.25">
      <c r="A32" t="s">
        <v>840</v>
      </c>
    </row>
    <row r="33" spans="1:1" x14ac:dyDescent="0.25">
      <c r="A33" t="s">
        <v>1425</v>
      </c>
    </row>
    <row r="34" spans="1:1" x14ac:dyDescent="0.25">
      <c r="A34" t="s">
        <v>2188</v>
      </c>
    </row>
    <row r="35" spans="1:1" x14ac:dyDescent="0.25">
      <c r="A35" t="s">
        <v>290</v>
      </c>
    </row>
    <row r="36" spans="1:1" x14ac:dyDescent="0.25">
      <c r="A36" t="s">
        <v>1664</v>
      </c>
    </row>
    <row r="37" spans="1:1" x14ac:dyDescent="0.25">
      <c r="A37" t="s">
        <v>2781</v>
      </c>
    </row>
    <row r="38" spans="1:1" x14ac:dyDescent="0.25">
      <c r="A38" t="s">
        <v>618</v>
      </c>
    </row>
    <row r="39" spans="1:1" x14ac:dyDescent="0.25">
      <c r="A39" t="s">
        <v>809</v>
      </c>
    </row>
    <row r="40" spans="1:1" x14ac:dyDescent="0.25">
      <c r="A40" t="s">
        <v>113</v>
      </c>
    </row>
    <row r="41" spans="1:1" x14ac:dyDescent="0.25">
      <c r="A41" t="s">
        <v>2780</v>
      </c>
    </row>
    <row r="42" spans="1:1" x14ac:dyDescent="0.25">
      <c r="A42" t="s">
        <v>256</v>
      </c>
    </row>
    <row r="43" spans="1:1" x14ac:dyDescent="0.25">
      <c r="A43" t="s">
        <v>420</v>
      </c>
    </row>
    <row r="44" spans="1:1" x14ac:dyDescent="0.25">
      <c r="A44" t="s">
        <v>38</v>
      </c>
    </row>
    <row r="45" spans="1:1" x14ac:dyDescent="0.25">
      <c r="A45" t="s">
        <v>2101</v>
      </c>
    </row>
    <row r="46" spans="1:1" x14ac:dyDescent="0.25">
      <c r="A46" t="s">
        <v>1019</v>
      </c>
    </row>
    <row r="47" spans="1:1" x14ac:dyDescent="0.25">
      <c r="A47" t="s">
        <v>2547</v>
      </c>
    </row>
    <row r="48" spans="1:1" x14ac:dyDescent="0.25">
      <c r="A48" t="s">
        <v>745</v>
      </c>
    </row>
    <row r="49" spans="1:1" x14ac:dyDescent="0.25">
      <c r="A49" t="s">
        <v>325</v>
      </c>
    </row>
    <row r="50" spans="1:1" x14ac:dyDescent="0.25">
      <c r="A50" t="s">
        <v>1456</v>
      </c>
    </row>
    <row r="51" spans="1:1" x14ac:dyDescent="0.25">
      <c r="A51" t="s">
        <v>736</v>
      </c>
    </row>
    <row r="52" spans="1:1" x14ac:dyDescent="0.25">
      <c r="A52" t="s">
        <v>1441</v>
      </c>
    </row>
    <row r="53" spans="1:1" x14ac:dyDescent="0.25">
      <c r="A53" t="s">
        <v>302</v>
      </c>
    </row>
    <row r="54" spans="1:1" x14ac:dyDescent="0.25">
      <c r="A54" t="s">
        <v>485</v>
      </c>
    </row>
    <row r="55" spans="1:1" x14ac:dyDescent="0.25">
      <c r="A55" t="s">
        <v>115</v>
      </c>
    </row>
    <row r="56" spans="1:1" x14ac:dyDescent="0.25">
      <c r="A56" t="s">
        <v>858</v>
      </c>
    </row>
    <row r="57" spans="1:1" x14ac:dyDescent="0.25">
      <c r="A57" t="s">
        <v>2255</v>
      </c>
    </row>
    <row r="58" spans="1:1" x14ac:dyDescent="0.25">
      <c r="A58" t="s">
        <v>1079</v>
      </c>
    </row>
    <row r="59" spans="1:1" x14ac:dyDescent="0.25">
      <c r="A59" t="s">
        <v>781</v>
      </c>
    </row>
    <row r="60" spans="1:1" x14ac:dyDescent="0.25">
      <c r="A60" t="s">
        <v>711</v>
      </c>
    </row>
    <row r="61" spans="1:1" x14ac:dyDescent="0.25">
      <c r="A61" t="s">
        <v>148</v>
      </c>
    </row>
    <row r="62" spans="1:1" x14ac:dyDescent="0.25">
      <c r="A62" t="s">
        <v>1367</v>
      </c>
    </row>
    <row r="63" spans="1:1" x14ac:dyDescent="0.25">
      <c r="A63" t="s">
        <v>378</v>
      </c>
    </row>
    <row r="64" spans="1:1" x14ac:dyDescent="0.25">
      <c r="A64" t="s">
        <v>114</v>
      </c>
    </row>
    <row r="65" spans="1:1" x14ac:dyDescent="0.25">
      <c r="A65" t="s">
        <v>1826</v>
      </c>
    </row>
    <row r="66" spans="1:1" x14ac:dyDescent="0.25">
      <c r="A66" t="s">
        <v>336</v>
      </c>
    </row>
    <row r="67" spans="1:1" x14ac:dyDescent="0.25">
      <c r="A67" t="s">
        <v>425</v>
      </c>
    </row>
    <row r="68" spans="1:1" x14ac:dyDescent="0.25">
      <c r="A68" t="s">
        <v>199</v>
      </c>
    </row>
    <row r="69" spans="1:1" x14ac:dyDescent="0.25">
      <c r="A69" t="s">
        <v>1781</v>
      </c>
    </row>
    <row r="70" spans="1:1" x14ac:dyDescent="0.25">
      <c r="A70" t="s">
        <v>2557</v>
      </c>
    </row>
    <row r="71" spans="1:1" x14ac:dyDescent="0.25">
      <c r="A71" t="s">
        <v>2644</v>
      </c>
    </row>
    <row r="72" spans="1:1" x14ac:dyDescent="0.25">
      <c r="A72" t="s">
        <v>1693</v>
      </c>
    </row>
    <row r="73" spans="1:1" x14ac:dyDescent="0.25">
      <c r="A73" t="s">
        <v>354</v>
      </c>
    </row>
    <row r="74" spans="1:1" x14ac:dyDescent="0.25">
      <c r="A74" t="s">
        <v>638</v>
      </c>
    </row>
    <row r="75" spans="1:1" x14ac:dyDescent="0.25">
      <c r="A75" t="s">
        <v>2398</v>
      </c>
    </row>
    <row r="76" spans="1:1" x14ac:dyDescent="0.25">
      <c r="A76" t="s">
        <v>213</v>
      </c>
    </row>
    <row r="77" spans="1:1" x14ac:dyDescent="0.25">
      <c r="A77" t="s">
        <v>440</v>
      </c>
    </row>
    <row r="78" spans="1:1" x14ac:dyDescent="0.25">
      <c r="A78" t="s">
        <v>2378</v>
      </c>
    </row>
    <row r="79" spans="1:1" x14ac:dyDescent="0.25">
      <c r="A79" t="s">
        <v>968</v>
      </c>
    </row>
    <row r="80" spans="1:1" x14ac:dyDescent="0.25">
      <c r="A80" t="s">
        <v>1549</v>
      </c>
    </row>
    <row r="81" spans="1:1" x14ac:dyDescent="0.25">
      <c r="A81" t="s">
        <v>987</v>
      </c>
    </row>
    <row r="82" spans="1:1" x14ac:dyDescent="0.25">
      <c r="A82" t="s">
        <v>636</v>
      </c>
    </row>
    <row r="83" spans="1:1" ht="16.5" customHeight="1" x14ac:dyDescent="0.25">
      <c r="A83" t="s">
        <v>112</v>
      </c>
    </row>
    <row r="84" spans="1:1" ht="16.5" customHeight="1" x14ac:dyDescent="0.25">
      <c r="A84" t="s">
        <v>214</v>
      </c>
    </row>
    <row r="85" spans="1:1" x14ac:dyDescent="0.25">
      <c r="A85" t="s">
        <v>469</v>
      </c>
    </row>
    <row r="86" spans="1:1" x14ac:dyDescent="0.25">
      <c r="A86" t="s">
        <v>2205</v>
      </c>
    </row>
    <row r="87" spans="1:1" x14ac:dyDescent="0.25">
      <c r="A87" t="s">
        <v>971</v>
      </c>
    </row>
    <row r="88" spans="1:1" x14ac:dyDescent="0.25">
      <c r="A88" t="s">
        <v>955</v>
      </c>
    </row>
    <row r="89" spans="1:1" x14ac:dyDescent="0.25">
      <c r="A89" t="s">
        <v>187</v>
      </c>
    </row>
    <row r="90" spans="1:1" x14ac:dyDescent="0.25">
      <c r="A90" t="s">
        <v>353</v>
      </c>
    </row>
    <row r="91" spans="1:1" x14ac:dyDescent="0.25">
      <c r="A91" t="s">
        <v>1460</v>
      </c>
    </row>
    <row r="92" spans="1:1" x14ac:dyDescent="0.25">
      <c r="A92" t="s">
        <v>817</v>
      </c>
    </row>
    <row r="93" spans="1:1" x14ac:dyDescent="0.25">
      <c r="A93" t="s">
        <v>2024</v>
      </c>
    </row>
    <row r="94" spans="1:1" x14ac:dyDescent="0.25">
      <c r="A94" t="s">
        <v>1167</v>
      </c>
    </row>
    <row r="95" spans="1:1" x14ac:dyDescent="0.25">
      <c r="A95" t="s">
        <v>367</v>
      </c>
    </row>
    <row r="96" spans="1:1" x14ac:dyDescent="0.25">
      <c r="A96" t="s">
        <v>477</v>
      </c>
    </row>
    <row r="97" spans="1:1" x14ac:dyDescent="0.25">
      <c r="A97" t="s">
        <v>1665</v>
      </c>
    </row>
    <row r="98" spans="1:1" x14ac:dyDescent="0.25">
      <c r="A98" t="s">
        <v>1831</v>
      </c>
    </row>
    <row r="99" spans="1:1" x14ac:dyDescent="0.25">
      <c r="A99" t="s">
        <v>1385</v>
      </c>
    </row>
    <row r="100" spans="1:1" x14ac:dyDescent="0.25">
      <c r="A100" t="s">
        <v>775</v>
      </c>
    </row>
    <row r="101" spans="1:1" x14ac:dyDescent="0.25">
      <c r="A101" t="s">
        <v>132</v>
      </c>
    </row>
    <row r="102" spans="1:1" x14ac:dyDescent="0.25">
      <c r="A102" t="s">
        <v>690</v>
      </c>
    </row>
    <row r="103" spans="1:1" x14ac:dyDescent="0.25">
      <c r="A103" t="s">
        <v>176</v>
      </c>
    </row>
    <row r="104" spans="1:1" x14ac:dyDescent="0.25">
      <c r="A104" t="s">
        <v>677</v>
      </c>
    </row>
    <row r="105" spans="1:1" x14ac:dyDescent="0.25">
      <c r="A105" t="s">
        <v>450</v>
      </c>
    </row>
  </sheetData>
  <sortState xmlns:xlrd2="http://schemas.microsoft.com/office/spreadsheetml/2017/richdata2" ref="B3:B17">
    <sortCondition ref="B3:B17"/>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CAT REGISTER</vt:lpstr>
      <vt:lpstr>FOSTERER</vt:lpstr>
      <vt:lpstr>TNR</vt:lpstr>
      <vt:lpstr>VETS</vt:lpstr>
      <vt:lpstr>ADOPTIONS 2024</vt:lpstr>
      <vt:lpstr>ADOPTIONS 2023</vt:lpstr>
      <vt:lpstr>ADOPTIONS 2022</vt:lpstr>
      <vt:lpstr>INTAKE 2022</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Martinez</dc:creator>
  <cp:lastModifiedBy>Lisa Martinez</cp:lastModifiedBy>
  <cp:lastPrinted>2024-07-18T19:42:34Z</cp:lastPrinted>
  <dcterms:created xsi:type="dcterms:W3CDTF">2022-07-04T21:57:25Z</dcterms:created>
  <dcterms:modified xsi:type="dcterms:W3CDTF">2024-10-04T08:47:27Z</dcterms:modified>
</cp:coreProperties>
</file>